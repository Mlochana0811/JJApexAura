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1">
    <font>
      <name val="Calibri"/>
      <family val="2"/>
      <color theme="1"/>
      <sz val="11"/>
      <scheme val="minor"/>
    </font>
    <font>
      <b val="1"/>
      <color rgb="004f7462"/>
      <sz val="15"/>
    </font>
    <font>
      <i val="1"/>
      <color rgb="00777777"/>
      <sz val="9"/>
    </font>
    <font>
      <b val="1"/>
    </font>
    <font>
      <i val="1"/>
      <color rgb="00555555"/>
      <sz val="10"/>
    </font>
    <font>
      <b val="1"/>
      <color rgb="004f7462"/>
      <sz val="9"/>
    </font>
    <font>
      <b val="1"/>
      <sz val="9"/>
    </font>
    <font>
      <b val="1"/>
      <color rgb="00777777"/>
    </font>
    <font>
      <b val="1"/>
      <color rgb="00FFFFFF"/>
    </font>
    <font>
      <b val="1"/>
      <color rgb="004f7462"/>
      <sz val="14"/>
    </font>
    <font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FFF4DC"/>
      </patternFill>
    </fill>
    <fill>
      <patternFill patternType="solid">
        <fgColor rgb="004f7462"/>
      </patternFill>
    </fill>
    <fill>
      <patternFill patternType="solid">
        <fgColor rgb="008A9690"/>
      </patternFill>
    </fill>
    <fill>
      <patternFill patternType="solid">
        <fgColor rgb="00F1F3F2"/>
      </patternFill>
    </fill>
  </fills>
  <borders count="2">
    <border>
      <left/>
      <right/>
      <top/>
      <bottom/>
      <diagonal/>
    </border>
    <border>
      <bottom style="thin">
        <color rgb="00D0D5D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0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4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49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0" fillId="5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Jay's HR</author>
  </authors>
  <commentList>
    <comment ref="D8" authorId="0" shapeId="0">
      <text>
        <t>Rename this allowance if you like. Set Yes/No in the yellow cell above.</t>
      </text>
    </comment>
    <comment ref="E8" authorId="0" shapeId="0">
      <text>
        <t>Rename this allowance if you like. Set Yes/No in the yellow cell above.</t>
      </text>
    </comment>
    <comment ref="F8" authorId="0" shapeId="0">
      <text>
        <t>Rename this allowance if you like. Set Yes/No in the yellow cell above.</t>
      </text>
    </comment>
    <comment ref="G8" authorId="0" shapeId="0">
      <text>
        <t>Rename this allowance if you like. Set Yes/No in the yellow cell above.</t>
      </text>
    </comment>
    <comment ref="H8" authorId="0" shapeId="0">
      <text>
        <t>Rename this allowance if you like. Set Yes/No in the yellow cell above.</t>
      </text>
    </comment>
    <comment ref="I8" authorId="0" shapeId="0">
      <text>
        <t>Rename this allowance if you like. Set Yes/No in the yellow cell above.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08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Jay's HR – monthly salary upload</t>
        </is>
      </c>
    </row>
    <row r="2">
      <c r="A2" s="2" t="inlineStr">
        <is>
          <t>Company code</t>
        </is>
      </c>
      <c r="B2" s="3" t="n"/>
      <c r="E2" t="inlineStr">
        <is>
          <t>No-pay divisor</t>
        </is>
      </c>
      <c r="F2" t="n">
        <v>30</v>
      </c>
    </row>
    <row r="3">
      <c r="A3" s="2" t="inlineStr">
        <is>
          <t>Month (YYYY-MM)</t>
        </is>
      </c>
      <c r="B3" s="3" t="n"/>
      <c r="E3" t="inlineStr">
        <is>
          <t>OT: basic ÷</t>
        </is>
      </c>
      <c r="F3" t="n">
        <v>240</v>
      </c>
      <c r="G3" t="inlineStr">
        <is>
          <t>× OT rate</t>
        </is>
      </c>
      <c r="H3" t="n">
        <v>1.5</v>
      </c>
    </row>
    <row r="4">
      <c r="A4" s="4" t="inlineStr">
        <is>
          <t>Company code and month are optional (e.g. CG and 2026-11) – if filled, they are checked on upload.</t>
        </is>
      </c>
      <c r="E4" s="4" t="inlineStr">
        <is>
          <t>(used only by the grey check columns – the system uses its own settings)</t>
        </is>
      </c>
      <c r="Q4" s="5" t="inlineStr">
        <is>
          <t>Totals →</t>
        </is>
      </c>
      <c r="R4" s="6">
        <f>SUM(R9:R108)</f>
        <v/>
      </c>
      <c r="S4" s="6">
        <f>SUM(S9:S108)</f>
        <v/>
      </c>
      <c r="T4" s="6">
        <f>SUM(T9:T108)</f>
        <v/>
      </c>
      <c r="U4" s="6">
        <f>SUM(U9:U108)</f>
        <v/>
      </c>
      <c r="V4" s="6">
        <f>SUM(V9:V108)</f>
        <v/>
      </c>
      <c r="W4" s="6">
        <f>SUM(W9:W108)</f>
        <v/>
      </c>
    </row>
    <row r="5">
      <c r="A5" s="7" t="inlineStr">
        <is>
          <t>Salary only – one row per employee, matched on Emp No (employee records are kept separately). Yellow cells in row 7 say whether each allowance counts for EPF/ETF (Yes) or not (No). You can rename the allowance columns. Grey columns are calculated – don't type in them.</t>
        </is>
      </c>
    </row>
    <row r="6">
      <c r="A6" s="8" t="inlineStr">
        <is>
          <t>EMPLOYEE</t>
        </is>
      </c>
      <c r="C6" s="8" t="inlineStr">
        <is>
          <t>FIXED MONTHLY PAY</t>
        </is>
      </c>
      <c r="J6" s="8" t="inlineStr">
        <is>
          <t>THIS MONTH</t>
        </is>
      </c>
      <c r="M6" s="8" t="inlineStr">
        <is>
          <t>DEDUCTIONS</t>
        </is>
      </c>
      <c r="R6" s="8" t="inlineStr">
        <is>
          <t>CHECK – calculated, don't type here</t>
        </is>
      </c>
    </row>
    <row r="7">
      <c r="A7" s="5" t="inlineStr">
        <is>
          <t>Counts for EPF/ETF? →</t>
        </is>
      </c>
      <c r="C7" s="9" t="inlineStr">
        <is>
          <t>Yes</t>
        </is>
      </c>
      <c r="D7" s="10" t="inlineStr">
        <is>
          <t>Yes</t>
        </is>
      </c>
      <c r="E7" s="10" t="inlineStr">
        <is>
          <t>Yes</t>
        </is>
      </c>
      <c r="F7" s="10" t="inlineStr">
        <is>
          <t>Yes</t>
        </is>
      </c>
      <c r="G7" s="10" t="inlineStr">
        <is>
          <t>No</t>
        </is>
      </c>
      <c r="H7" s="10" t="inlineStr">
        <is>
          <t>No</t>
        </is>
      </c>
      <c r="I7" s="10" t="inlineStr">
        <is>
          <t>No</t>
        </is>
      </c>
      <c r="K7" s="9" t="inlineStr">
        <is>
          <t>No</t>
        </is>
      </c>
      <c r="L7" s="9" t="inlineStr">
        <is>
          <t>No</t>
        </is>
      </c>
    </row>
    <row r="8" ht="45" customHeight="1">
      <c r="A8" s="11" t="inlineStr">
        <is>
          <t>Emp No *</t>
        </is>
      </c>
      <c r="B8" s="11" t="inlineStr">
        <is>
          <t>Employee name</t>
        </is>
      </c>
      <c r="C8" s="11" t="inlineStr">
        <is>
          <t>Basic salary *</t>
        </is>
      </c>
      <c r="D8" s="11" t="inlineStr">
        <is>
          <t>Cost of living allowance</t>
        </is>
      </c>
      <c r="E8" s="11" t="inlineStr">
        <is>
          <t>Food allowance</t>
        </is>
      </c>
      <c r="F8" s="11" t="inlineStr">
        <is>
          <t>Other EPF-able allowance</t>
        </is>
      </c>
      <c r="G8" s="11" t="inlineStr">
        <is>
          <t>Travelling allowance</t>
        </is>
      </c>
      <c r="H8" s="11" t="inlineStr">
        <is>
          <t>Performance / incentive allowance</t>
        </is>
      </c>
      <c r="I8" s="11" t="inlineStr">
        <is>
          <t>Other allowance</t>
        </is>
      </c>
      <c r="J8" s="11" t="inlineStr">
        <is>
          <t>No-pay days</t>
        </is>
      </c>
      <c r="K8" s="11" t="inlineStr">
        <is>
          <t>OT hours</t>
        </is>
      </c>
      <c r="L8" s="11" t="inlineStr">
        <is>
          <t>Bonus / incentive (not EPF)</t>
        </is>
      </c>
      <c r="M8" s="11" t="inlineStr">
        <is>
          <t>Salary advance</t>
        </is>
      </c>
      <c r="N8" s="11" t="inlineStr">
        <is>
          <t>Welfare</t>
        </is>
      </c>
      <c r="O8" s="11" t="inlineStr">
        <is>
          <t>Loan recovery</t>
        </is>
      </c>
      <c r="P8" s="11" t="inlineStr">
        <is>
          <t>Other deductions</t>
        </is>
      </c>
      <c r="Q8" s="11" t="inlineStr">
        <is>
          <t>Remarks</t>
        </is>
      </c>
      <c r="R8" s="12" t="inlineStr">
        <is>
          <t>Gross pay</t>
        </is>
      </c>
      <c r="S8" s="12" t="inlineStr">
        <is>
          <t>EPF/ETF earnings</t>
        </is>
      </c>
      <c r="T8" s="12" t="inlineStr">
        <is>
          <t>EPF 8% (employee)</t>
        </is>
      </c>
      <c r="U8" s="12" t="inlineStr">
        <is>
          <t>EPF 12% (employer)</t>
        </is>
      </c>
      <c r="V8" s="12" t="inlineStr">
        <is>
          <t>ETF 3%</t>
        </is>
      </c>
      <c r="W8" s="12" t="inlineStr">
        <is>
          <t>Net pay (before APIT)</t>
        </is>
      </c>
    </row>
    <row r="9">
      <c r="A9" s="13" t="n"/>
      <c r="B9" s="13" t="n"/>
      <c r="C9" s="14" t="n"/>
      <c r="D9" s="14" t="n"/>
      <c r="E9" s="14" t="n"/>
      <c r="F9" s="14" t="n"/>
      <c r="G9" s="14" t="n"/>
      <c r="H9" s="14" t="n"/>
      <c r="I9" s="14" t="n"/>
      <c r="J9" s="15" t="n"/>
      <c r="K9" s="15" t="n"/>
      <c r="L9" s="14" t="n"/>
      <c r="M9" s="14" t="n"/>
      <c r="N9" s="14" t="n"/>
      <c r="O9" s="14" t="n"/>
      <c r="P9" s="14" t="n"/>
      <c r="Q9" s="13" t="n"/>
      <c r="R9" s="16">
        <f>IF(C9="","",ROUND((C9+SUM(D9:I9))-(C9+SUM(D9:I9))/$F$2*N(J9)+C9/$F$3*$H$3*N(K9)+N(L9),2))</f>
        <v/>
      </c>
      <c r="S9" s="16">
        <f>IF(C9="","",ROUND((C9+SUMPRODUCT(D9:I9,--(D$7:I$7="Yes")))*(1-N(J9)/$F$2),2))</f>
        <v/>
      </c>
      <c r="T9" s="16">
        <f>IF(S9="","",ROUND(S9*8%,2))</f>
        <v/>
      </c>
      <c r="U9" s="16">
        <f>IF(S9="","",ROUND(S9*12%,2))</f>
        <v/>
      </c>
      <c r="V9" s="16">
        <f>IF(S9="","",ROUND(S9*3%,2))</f>
        <v/>
      </c>
      <c r="W9" s="16">
        <f>IF(R9="","",R9-T9-(N(M9)+N(N9)+N(O9)+N(P9)))</f>
        <v/>
      </c>
    </row>
    <row r="10">
      <c r="A10" s="13" t="n"/>
      <c r="B10" s="13" t="n"/>
      <c r="C10" s="14" t="n"/>
      <c r="D10" s="14" t="n"/>
      <c r="E10" s="14" t="n"/>
      <c r="F10" s="14" t="n"/>
      <c r="G10" s="14" t="n"/>
      <c r="H10" s="14" t="n"/>
      <c r="I10" s="14" t="n"/>
      <c r="J10" s="15" t="n"/>
      <c r="K10" s="15" t="n"/>
      <c r="L10" s="14" t="n"/>
      <c r="M10" s="14" t="n"/>
      <c r="N10" s="14" t="n"/>
      <c r="O10" s="14" t="n"/>
      <c r="P10" s="14" t="n"/>
      <c r="Q10" s="13" t="n"/>
      <c r="R10" s="16">
        <f>IF(C10="","",ROUND((C10+SUM(D10:I10))-(C10+SUM(D10:I10))/$F$2*N(J10)+C10/$F$3*$H$3*N(K10)+N(L10),2))</f>
        <v/>
      </c>
      <c r="S10" s="16">
        <f>IF(C10="","",ROUND((C10+SUMPRODUCT(D10:I10,--(D$7:I$7="Yes")))*(1-N(J10)/$F$2),2))</f>
        <v/>
      </c>
      <c r="T10" s="16">
        <f>IF(S10="","",ROUND(S10*8%,2))</f>
        <v/>
      </c>
      <c r="U10" s="16">
        <f>IF(S10="","",ROUND(S10*12%,2))</f>
        <v/>
      </c>
      <c r="V10" s="16">
        <f>IF(S10="","",ROUND(S10*3%,2))</f>
        <v/>
      </c>
      <c r="W10" s="16">
        <f>IF(R10="","",R10-T10-(N(M10)+N(N10)+N(O10)+N(P10)))</f>
        <v/>
      </c>
    </row>
    <row r="11">
      <c r="A11" s="13" t="n"/>
      <c r="B11" s="13" t="n"/>
      <c r="C11" s="14" t="n"/>
      <c r="D11" s="14" t="n"/>
      <c r="E11" s="14" t="n"/>
      <c r="F11" s="14" t="n"/>
      <c r="G11" s="14" t="n"/>
      <c r="H11" s="14" t="n"/>
      <c r="I11" s="14" t="n"/>
      <c r="J11" s="15" t="n"/>
      <c r="K11" s="15" t="n"/>
      <c r="L11" s="14" t="n"/>
      <c r="M11" s="14" t="n"/>
      <c r="N11" s="14" t="n"/>
      <c r="O11" s="14" t="n"/>
      <c r="P11" s="14" t="n"/>
      <c r="Q11" s="13" t="n"/>
      <c r="R11" s="16">
        <f>IF(C11="","",ROUND((C11+SUM(D11:I11))-(C11+SUM(D11:I11))/$F$2*N(J11)+C11/$F$3*$H$3*N(K11)+N(L11),2))</f>
        <v/>
      </c>
      <c r="S11" s="16">
        <f>IF(C11="","",ROUND((C11+SUMPRODUCT(D11:I11,--(D$7:I$7="Yes")))*(1-N(J11)/$F$2),2))</f>
        <v/>
      </c>
      <c r="T11" s="16">
        <f>IF(S11="","",ROUND(S11*8%,2))</f>
        <v/>
      </c>
      <c r="U11" s="16">
        <f>IF(S11="","",ROUND(S11*12%,2))</f>
        <v/>
      </c>
      <c r="V11" s="16">
        <f>IF(S11="","",ROUND(S11*3%,2))</f>
        <v/>
      </c>
      <c r="W11" s="16">
        <f>IF(R11="","",R11-T11-(N(M11)+N(N11)+N(O11)+N(P11)))</f>
        <v/>
      </c>
    </row>
    <row r="12">
      <c r="A12" s="13" t="n"/>
      <c r="B12" s="13" t="n"/>
      <c r="C12" s="14" t="n"/>
      <c r="D12" s="14" t="n"/>
      <c r="E12" s="14" t="n"/>
      <c r="F12" s="14" t="n"/>
      <c r="G12" s="14" t="n"/>
      <c r="H12" s="14" t="n"/>
      <c r="I12" s="14" t="n"/>
      <c r="J12" s="15" t="n"/>
      <c r="K12" s="15" t="n"/>
      <c r="L12" s="14" t="n"/>
      <c r="M12" s="14" t="n"/>
      <c r="N12" s="14" t="n"/>
      <c r="O12" s="14" t="n"/>
      <c r="P12" s="14" t="n"/>
      <c r="Q12" s="13" t="n"/>
      <c r="R12" s="16">
        <f>IF(C12="","",ROUND((C12+SUM(D12:I12))-(C12+SUM(D12:I12))/$F$2*N(J12)+C12/$F$3*$H$3*N(K12)+N(L12),2))</f>
        <v/>
      </c>
      <c r="S12" s="16">
        <f>IF(C12="","",ROUND((C12+SUMPRODUCT(D12:I12,--(D$7:I$7="Yes")))*(1-N(J12)/$F$2),2))</f>
        <v/>
      </c>
      <c r="T12" s="16">
        <f>IF(S12="","",ROUND(S12*8%,2))</f>
        <v/>
      </c>
      <c r="U12" s="16">
        <f>IF(S12="","",ROUND(S12*12%,2))</f>
        <v/>
      </c>
      <c r="V12" s="16">
        <f>IF(S12="","",ROUND(S12*3%,2))</f>
        <v/>
      </c>
      <c r="W12" s="16">
        <f>IF(R12="","",R12-T12-(N(M12)+N(N12)+N(O12)+N(P12)))</f>
        <v/>
      </c>
    </row>
    <row r="13">
      <c r="A13" s="13" t="n"/>
      <c r="B13" s="13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15" t="n"/>
      <c r="L13" s="14" t="n"/>
      <c r="M13" s="14" t="n"/>
      <c r="N13" s="14" t="n"/>
      <c r="O13" s="14" t="n"/>
      <c r="P13" s="14" t="n"/>
      <c r="Q13" s="13" t="n"/>
      <c r="R13" s="16">
        <f>IF(C13="","",ROUND((C13+SUM(D13:I13))-(C13+SUM(D13:I13))/$F$2*N(J13)+C13/$F$3*$H$3*N(K13)+N(L13),2))</f>
        <v/>
      </c>
      <c r="S13" s="16">
        <f>IF(C13="","",ROUND((C13+SUMPRODUCT(D13:I13,--(D$7:I$7="Yes")))*(1-N(J13)/$F$2),2))</f>
        <v/>
      </c>
      <c r="T13" s="16">
        <f>IF(S13="","",ROUND(S13*8%,2))</f>
        <v/>
      </c>
      <c r="U13" s="16">
        <f>IF(S13="","",ROUND(S13*12%,2))</f>
        <v/>
      </c>
      <c r="V13" s="16">
        <f>IF(S13="","",ROUND(S13*3%,2))</f>
        <v/>
      </c>
      <c r="W13" s="16">
        <f>IF(R13="","",R13-T13-(N(M13)+N(N13)+N(O13)+N(P13)))</f>
        <v/>
      </c>
    </row>
    <row r="14">
      <c r="A14" s="13" t="n"/>
      <c r="B14" s="13" t="n"/>
      <c r="C14" s="14" t="n"/>
      <c r="D14" s="14" t="n"/>
      <c r="E14" s="14" t="n"/>
      <c r="F14" s="14" t="n"/>
      <c r="G14" s="14" t="n"/>
      <c r="H14" s="14" t="n"/>
      <c r="I14" s="14" t="n"/>
      <c r="J14" s="15" t="n"/>
      <c r="K14" s="15" t="n"/>
      <c r="L14" s="14" t="n"/>
      <c r="M14" s="14" t="n"/>
      <c r="N14" s="14" t="n"/>
      <c r="O14" s="14" t="n"/>
      <c r="P14" s="14" t="n"/>
      <c r="Q14" s="13" t="n"/>
      <c r="R14" s="16">
        <f>IF(C14="","",ROUND((C14+SUM(D14:I14))-(C14+SUM(D14:I14))/$F$2*N(J14)+C14/$F$3*$H$3*N(K14)+N(L14),2))</f>
        <v/>
      </c>
      <c r="S14" s="16">
        <f>IF(C14="","",ROUND((C14+SUMPRODUCT(D14:I14,--(D$7:I$7="Yes")))*(1-N(J14)/$F$2),2))</f>
        <v/>
      </c>
      <c r="T14" s="16">
        <f>IF(S14="","",ROUND(S14*8%,2))</f>
        <v/>
      </c>
      <c r="U14" s="16">
        <f>IF(S14="","",ROUND(S14*12%,2))</f>
        <v/>
      </c>
      <c r="V14" s="16">
        <f>IF(S14="","",ROUND(S14*3%,2))</f>
        <v/>
      </c>
      <c r="W14" s="16">
        <f>IF(R14="","",R14-T14-(N(M14)+N(N14)+N(O14)+N(P14)))</f>
        <v/>
      </c>
    </row>
    <row r="15">
      <c r="A15" s="13" t="n"/>
      <c r="B15" s="13" t="n"/>
      <c r="C15" s="14" t="n"/>
      <c r="D15" s="14" t="n"/>
      <c r="E15" s="14" t="n"/>
      <c r="F15" s="14" t="n"/>
      <c r="G15" s="14" t="n"/>
      <c r="H15" s="14" t="n"/>
      <c r="I15" s="14" t="n"/>
      <c r="J15" s="15" t="n"/>
      <c r="K15" s="15" t="n"/>
      <c r="L15" s="14" t="n"/>
      <c r="M15" s="14" t="n"/>
      <c r="N15" s="14" t="n"/>
      <c r="O15" s="14" t="n"/>
      <c r="P15" s="14" t="n"/>
      <c r="Q15" s="13" t="n"/>
      <c r="R15" s="16">
        <f>IF(C15="","",ROUND((C15+SUM(D15:I15))-(C15+SUM(D15:I15))/$F$2*N(J15)+C15/$F$3*$H$3*N(K15)+N(L15),2))</f>
        <v/>
      </c>
      <c r="S15" s="16">
        <f>IF(C15="","",ROUND((C15+SUMPRODUCT(D15:I15,--(D$7:I$7="Yes")))*(1-N(J15)/$F$2),2))</f>
        <v/>
      </c>
      <c r="T15" s="16">
        <f>IF(S15="","",ROUND(S15*8%,2))</f>
        <v/>
      </c>
      <c r="U15" s="16">
        <f>IF(S15="","",ROUND(S15*12%,2))</f>
        <v/>
      </c>
      <c r="V15" s="16">
        <f>IF(S15="","",ROUND(S15*3%,2))</f>
        <v/>
      </c>
      <c r="W15" s="16">
        <f>IF(R15="","",R15-T15-(N(M15)+N(N15)+N(O15)+N(P15)))</f>
        <v/>
      </c>
    </row>
    <row r="16">
      <c r="A16" s="13" t="n"/>
      <c r="B16" s="13" t="n"/>
      <c r="C16" s="14" t="n"/>
      <c r="D16" s="14" t="n"/>
      <c r="E16" s="14" t="n"/>
      <c r="F16" s="14" t="n"/>
      <c r="G16" s="14" t="n"/>
      <c r="H16" s="14" t="n"/>
      <c r="I16" s="14" t="n"/>
      <c r="J16" s="15" t="n"/>
      <c r="K16" s="15" t="n"/>
      <c r="L16" s="14" t="n"/>
      <c r="M16" s="14" t="n"/>
      <c r="N16" s="14" t="n"/>
      <c r="O16" s="14" t="n"/>
      <c r="P16" s="14" t="n"/>
      <c r="Q16" s="13" t="n"/>
      <c r="R16" s="16">
        <f>IF(C16="","",ROUND((C16+SUM(D16:I16))-(C16+SUM(D16:I16))/$F$2*N(J16)+C16/$F$3*$H$3*N(K16)+N(L16),2))</f>
        <v/>
      </c>
      <c r="S16" s="16">
        <f>IF(C16="","",ROUND((C16+SUMPRODUCT(D16:I16,--(D$7:I$7="Yes")))*(1-N(J16)/$F$2),2))</f>
        <v/>
      </c>
      <c r="T16" s="16">
        <f>IF(S16="","",ROUND(S16*8%,2))</f>
        <v/>
      </c>
      <c r="U16" s="16">
        <f>IF(S16="","",ROUND(S16*12%,2))</f>
        <v/>
      </c>
      <c r="V16" s="16">
        <f>IF(S16="","",ROUND(S16*3%,2))</f>
        <v/>
      </c>
      <c r="W16" s="16">
        <f>IF(R16="","",R16-T16-(N(M16)+N(N16)+N(O16)+N(P16)))</f>
        <v/>
      </c>
    </row>
    <row r="17">
      <c r="A17" s="13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5" t="n"/>
      <c r="K17" s="15" t="n"/>
      <c r="L17" s="14" t="n"/>
      <c r="M17" s="14" t="n"/>
      <c r="N17" s="14" t="n"/>
      <c r="O17" s="14" t="n"/>
      <c r="P17" s="14" t="n"/>
      <c r="Q17" s="13" t="n"/>
      <c r="R17" s="16">
        <f>IF(C17="","",ROUND((C17+SUM(D17:I17))-(C17+SUM(D17:I17))/$F$2*N(J17)+C17/$F$3*$H$3*N(K17)+N(L17),2))</f>
        <v/>
      </c>
      <c r="S17" s="16">
        <f>IF(C17="","",ROUND((C17+SUMPRODUCT(D17:I17,--(D$7:I$7="Yes")))*(1-N(J17)/$F$2),2))</f>
        <v/>
      </c>
      <c r="T17" s="16">
        <f>IF(S17="","",ROUND(S17*8%,2))</f>
        <v/>
      </c>
      <c r="U17" s="16">
        <f>IF(S17="","",ROUND(S17*12%,2))</f>
        <v/>
      </c>
      <c r="V17" s="16">
        <f>IF(S17="","",ROUND(S17*3%,2))</f>
        <v/>
      </c>
      <c r="W17" s="16">
        <f>IF(R17="","",R17-T17-(N(M17)+N(N17)+N(O17)+N(P17)))</f>
        <v/>
      </c>
    </row>
    <row r="18">
      <c r="A18" s="13" t="n"/>
      <c r="B18" s="13" t="n"/>
      <c r="C18" s="14" t="n"/>
      <c r="D18" s="14" t="n"/>
      <c r="E18" s="14" t="n"/>
      <c r="F18" s="14" t="n"/>
      <c r="G18" s="14" t="n"/>
      <c r="H18" s="14" t="n"/>
      <c r="I18" s="14" t="n"/>
      <c r="J18" s="15" t="n"/>
      <c r="K18" s="15" t="n"/>
      <c r="L18" s="14" t="n"/>
      <c r="M18" s="14" t="n"/>
      <c r="N18" s="14" t="n"/>
      <c r="O18" s="14" t="n"/>
      <c r="P18" s="14" t="n"/>
      <c r="Q18" s="13" t="n"/>
      <c r="R18" s="16">
        <f>IF(C18="","",ROUND((C18+SUM(D18:I18))-(C18+SUM(D18:I18))/$F$2*N(J18)+C18/$F$3*$H$3*N(K18)+N(L18),2))</f>
        <v/>
      </c>
      <c r="S18" s="16">
        <f>IF(C18="","",ROUND((C18+SUMPRODUCT(D18:I18,--(D$7:I$7="Yes")))*(1-N(J18)/$F$2),2))</f>
        <v/>
      </c>
      <c r="T18" s="16">
        <f>IF(S18="","",ROUND(S18*8%,2))</f>
        <v/>
      </c>
      <c r="U18" s="16">
        <f>IF(S18="","",ROUND(S18*12%,2))</f>
        <v/>
      </c>
      <c r="V18" s="16">
        <f>IF(S18="","",ROUND(S18*3%,2))</f>
        <v/>
      </c>
      <c r="W18" s="16">
        <f>IF(R18="","",R18-T18-(N(M18)+N(N18)+N(O18)+N(P18)))</f>
        <v/>
      </c>
    </row>
    <row r="19">
      <c r="A19" s="13" t="n"/>
      <c r="B19" s="13" t="n"/>
      <c r="C19" s="14" t="n"/>
      <c r="D19" s="14" t="n"/>
      <c r="E19" s="14" t="n"/>
      <c r="F19" s="14" t="n"/>
      <c r="G19" s="14" t="n"/>
      <c r="H19" s="14" t="n"/>
      <c r="I19" s="14" t="n"/>
      <c r="J19" s="15" t="n"/>
      <c r="K19" s="15" t="n"/>
      <c r="L19" s="14" t="n"/>
      <c r="M19" s="14" t="n"/>
      <c r="N19" s="14" t="n"/>
      <c r="O19" s="14" t="n"/>
      <c r="P19" s="14" t="n"/>
      <c r="Q19" s="13" t="n"/>
      <c r="R19" s="16">
        <f>IF(C19="","",ROUND((C19+SUM(D19:I19))-(C19+SUM(D19:I19))/$F$2*N(J19)+C19/$F$3*$H$3*N(K19)+N(L19),2))</f>
        <v/>
      </c>
      <c r="S19" s="16">
        <f>IF(C19="","",ROUND((C19+SUMPRODUCT(D19:I19,--(D$7:I$7="Yes")))*(1-N(J19)/$F$2),2))</f>
        <v/>
      </c>
      <c r="T19" s="16">
        <f>IF(S19="","",ROUND(S19*8%,2))</f>
        <v/>
      </c>
      <c r="U19" s="16">
        <f>IF(S19="","",ROUND(S19*12%,2))</f>
        <v/>
      </c>
      <c r="V19" s="16">
        <f>IF(S19="","",ROUND(S19*3%,2))</f>
        <v/>
      </c>
      <c r="W19" s="16">
        <f>IF(R19="","",R19-T19-(N(M19)+N(N19)+N(O19)+N(P19)))</f>
        <v/>
      </c>
    </row>
    <row r="20">
      <c r="A20" s="13" t="n"/>
      <c r="B20" s="13" t="n"/>
      <c r="C20" s="14" t="n"/>
      <c r="D20" s="14" t="n"/>
      <c r="E20" s="14" t="n"/>
      <c r="F20" s="14" t="n"/>
      <c r="G20" s="14" t="n"/>
      <c r="H20" s="14" t="n"/>
      <c r="I20" s="14" t="n"/>
      <c r="J20" s="15" t="n"/>
      <c r="K20" s="15" t="n"/>
      <c r="L20" s="14" t="n"/>
      <c r="M20" s="14" t="n"/>
      <c r="N20" s="14" t="n"/>
      <c r="O20" s="14" t="n"/>
      <c r="P20" s="14" t="n"/>
      <c r="Q20" s="13" t="n"/>
      <c r="R20" s="16">
        <f>IF(C20="","",ROUND((C20+SUM(D20:I20))-(C20+SUM(D20:I20))/$F$2*N(J20)+C20/$F$3*$H$3*N(K20)+N(L20),2))</f>
        <v/>
      </c>
      <c r="S20" s="16">
        <f>IF(C20="","",ROUND((C20+SUMPRODUCT(D20:I20,--(D$7:I$7="Yes")))*(1-N(J20)/$F$2),2))</f>
        <v/>
      </c>
      <c r="T20" s="16">
        <f>IF(S20="","",ROUND(S20*8%,2))</f>
        <v/>
      </c>
      <c r="U20" s="16">
        <f>IF(S20="","",ROUND(S20*12%,2))</f>
        <v/>
      </c>
      <c r="V20" s="16">
        <f>IF(S20="","",ROUND(S20*3%,2))</f>
        <v/>
      </c>
      <c r="W20" s="16">
        <f>IF(R20="","",R20-T20-(N(M20)+N(N20)+N(O20)+N(P20)))</f>
        <v/>
      </c>
    </row>
    <row r="21">
      <c r="A21" s="13" t="n"/>
      <c r="B21" s="13" t="n"/>
      <c r="C21" s="14" t="n"/>
      <c r="D21" s="14" t="n"/>
      <c r="E21" s="14" t="n"/>
      <c r="F21" s="14" t="n"/>
      <c r="G21" s="14" t="n"/>
      <c r="H21" s="14" t="n"/>
      <c r="I21" s="14" t="n"/>
      <c r="J21" s="15" t="n"/>
      <c r="K21" s="15" t="n"/>
      <c r="L21" s="14" t="n"/>
      <c r="M21" s="14" t="n"/>
      <c r="N21" s="14" t="n"/>
      <c r="O21" s="14" t="n"/>
      <c r="P21" s="14" t="n"/>
      <c r="Q21" s="13" t="n"/>
      <c r="R21" s="16">
        <f>IF(C21="","",ROUND((C21+SUM(D21:I21))-(C21+SUM(D21:I21))/$F$2*N(J21)+C21/$F$3*$H$3*N(K21)+N(L21),2))</f>
        <v/>
      </c>
      <c r="S21" s="16">
        <f>IF(C21="","",ROUND((C21+SUMPRODUCT(D21:I21,--(D$7:I$7="Yes")))*(1-N(J21)/$F$2),2))</f>
        <v/>
      </c>
      <c r="T21" s="16">
        <f>IF(S21="","",ROUND(S21*8%,2))</f>
        <v/>
      </c>
      <c r="U21" s="16">
        <f>IF(S21="","",ROUND(S21*12%,2))</f>
        <v/>
      </c>
      <c r="V21" s="16">
        <f>IF(S21="","",ROUND(S21*3%,2))</f>
        <v/>
      </c>
      <c r="W21" s="16">
        <f>IF(R21="","",R21-T21-(N(M21)+N(N21)+N(O21)+N(P21)))</f>
        <v/>
      </c>
    </row>
    <row r="22">
      <c r="A22" s="13" t="n"/>
      <c r="B22" s="13" t="n"/>
      <c r="C22" s="14" t="n"/>
      <c r="D22" s="14" t="n"/>
      <c r="E22" s="14" t="n"/>
      <c r="F22" s="14" t="n"/>
      <c r="G22" s="14" t="n"/>
      <c r="H22" s="14" t="n"/>
      <c r="I22" s="14" t="n"/>
      <c r="J22" s="15" t="n"/>
      <c r="K22" s="15" t="n"/>
      <c r="L22" s="14" t="n"/>
      <c r="M22" s="14" t="n"/>
      <c r="N22" s="14" t="n"/>
      <c r="O22" s="14" t="n"/>
      <c r="P22" s="14" t="n"/>
      <c r="Q22" s="13" t="n"/>
      <c r="R22" s="16">
        <f>IF(C22="","",ROUND((C22+SUM(D22:I22))-(C22+SUM(D22:I22))/$F$2*N(J22)+C22/$F$3*$H$3*N(K22)+N(L22),2))</f>
        <v/>
      </c>
      <c r="S22" s="16">
        <f>IF(C22="","",ROUND((C22+SUMPRODUCT(D22:I22,--(D$7:I$7="Yes")))*(1-N(J22)/$F$2),2))</f>
        <v/>
      </c>
      <c r="T22" s="16">
        <f>IF(S22="","",ROUND(S22*8%,2))</f>
        <v/>
      </c>
      <c r="U22" s="16">
        <f>IF(S22="","",ROUND(S22*12%,2))</f>
        <v/>
      </c>
      <c r="V22" s="16">
        <f>IF(S22="","",ROUND(S22*3%,2))</f>
        <v/>
      </c>
      <c r="W22" s="16">
        <f>IF(R22="","",R22-T22-(N(M22)+N(N22)+N(O22)+N(P22)))</f>
        <v/>
      </c>
    </row>
    <row r="23">
      <c r="A23" s="13" t="n"/>
      <c r="B23" s="13" t="n"/>
      <c r="C23" s="14" t="n"/>
      <c r="D23" s="14" t="n"/>
      <c r="E23" s="14" t="n"/>
      <c r="F23" s="14" t="n"/>
      <c r="G23" s="14" t="n"/>
      <c r="H23" s="14" t="n"/>
      <c r="I23" s="14" t="n"/>
      <c r="J23" s="15" t="n"/>
      <c r="K23" s="15" t="n"/>
      <c r="L23" s="14" t="n"/>
      <c r="M23" s="14" t="n"/>
      <c r="N23" s="14" t="n"/>
      <c r="O23" s="14" t="n"/>
      <c r="P23" s="14" t="n"/>
      <c r="Q23" s="13" t="n"/>
      <c r="R23" s="16">
        <f>IF(C23="","",ROUND((C23+SUM(D23:I23))-(C23+SUM(D23:I23))/$F$2*N(J23)+C23/$F$3*$H$3*N(K23)+N(L23),2))</f>
        <v/>
      </c>
      <c r="S23" s="16">
        <f>IF(C23="","",ROUND((C23+SUMPRODUCT(D23:I23,--(D$7:I$7="Yes")))*(1-N(J23)/$F$2),2))</f>
        <v/>
      </c>
      <c r="T23" s="16">
        <f>IF(S23="","",ROUND(S23*8%,2))</f>
        <v/>
      </c>
      <c r="U23" s="16">
        <f>IF(S23="","",ROUND(S23*12%,2))</f>
        <v/>
      </c>
      <c r="V23" s="16">
        <f>IF(S23="","",ROUND(S23*3%,2))</f>
        <v/>
      </c>
      <c r="W23" s="16">
        <f>IF(R23="","",R23-T23-(N(M23)+N(N23)+N(O23)+N(P23)))</f>
        <v/>
      </c>
    </row>
    <row r="24">
      <c r="A24" s="13" t="n"/>
      <c r="B24" s="13" t="n"/>
      <c r="C24" s="14" t="n"/>
      <c r="D24" s="14" t="n"/>
      <c r="E24" s="14" t="n"/>
      <c r="F24" s="14" t="n"/>
      <c r="G24" s="14" t="n"/>
      <c r="H24" s="14" t="n"/>
      <c r="I24" s="14" t="n"/>
      <c r="J24" s="15" t="n"/>
      <c r="K24" s="15" t="n"/>
      <c r="L24" s="14" t="n"/>
      <c r="M24" s="14" t="n"/>
      <c r="N24" s="14" t="n"/>
      <c r="O24" s="14" t="n"/>
      <c r="P24" s="14" t="n"/>
      <c r="Q24" s="13" t="n"/>
      <c r="R24" s="16">
        <f>IF(C24="","",ROUND((C24+SUM(D24:I24))-(C24+SUM(D24:I24))/$F$2*N(J24)+C24/$F$3*$H$3*N(K24)+N(L24),2))</f>
        <v/>
      </c>
      <c r="S24" s="16">
        <f>IF(C24="","",ROUND((C24+SUMPRODUCT(D24:I24,--(D$7:I$7="Yes")))*(1-N(J24)/$F$2),2))</f>
        <v/>
      </c>
      <c r="T24" s="16">
        <f>IF(S24="","",ROUND(S24*8%,2))</f>
        <v/>
      </c>
      <c r="U24" s="16">
        <f>IF(S24="","",ROUND(S24*12%,2))</f>
        <v/>
      </c>
      <c r="V24" s="16">
        <f>IF(S24="","",ROUND(S24*3%,2))</f>
        <v/>
      </c>
      <c r="W24" s="16">
        <f>IF(R24="","",R24-T24-(N(M24)+N(N24)+N(O24)+N(P24)))</f>
        <v/>
      </c>
    </row>
    <row r="25">
      <c r="A25" s="13" t="n"/>
      <c r="B25" s="13" t="n"/>
      <c r="C25" s="14" t="n"/>
      <c r="D25" s="14" t="n"/>
      <c r="E25" s="14" t="n"/>
      <c r="F25" s="14" t="n"/>
      <c r="G25" s="14" t="n"/>
      <c r="H25" s="14" t="n"/>
      <c r="I25" s="14" t="n"/>
      <c r="J25" s="15" t="n"/>
      <c r="K25" s="15" t="n"/>
      <c r="L25" s="14" t="n"/>
      <c r="M25" s="14" t="n"/>
      <c r="N25" s="14" t="n"/>
      <c r="O25" s="14" t="n"/>
      <c r="P25" s="14" t="n"/>
      <c r="Q25" s="13" t="n"/>
      <c r="R25" s="16">
        <f>IF(C25="","",ROUND((C25+SUM(D25:I25))-(C25+SUM(D25:I25))/$F$2*N(J25)+C25/$F$3*$H$3*N(K25)+N(L25),2))</f>
        <v/>
      </c>
      <c r="S25" s="16">
        <f>IF(C25="","",ROUND((C25+SUMPRODUCT(D25:I25,--(D$7:I$7="Yes")))*(1-N(J25)/$F$2),2))</f>
        <v/>
      </c>
      <c r="T25" s="16">
        <f>IF(S25="","",ROUND(S25*8%,2))</f>
        <v/>
      </c>
      <c r="U25" s="16">
        <f>IF(S25="","",ROUND(S25*12%,2))</f>
        <v/>
      </c>
      <c r="V25" s="16">
        <f>IF(S25="","",ROUND(S25*3%,2))</f>
        <v/>
      </c>
      <c r="W25" s="16">
        <f>IF(R25="","",R25-T25-(N(M25)+N(N25)+N(O25)+N(P25)))</f>
        <v/>
      </c>
    </row>
    <row r="26">
      <c r="A26" s="13" t="n"/>
      <c r="B26" s="13" t="n"/>
      <c r="C26" s="14" t="n"/>
      <c r="D26" s="14" t="n"/>
      <c r="E26" s="14" t="n"/>
      <c r="F26" s="14" t="n"/>
      <c r="G26" s="14" t="n"/>
      <c r="H26" s="14" t="n"/>
      <c r="I26" s="14" t="n"/>
      <c r="J26" s="15" t="n"/>
      <c r="K26" s="15" t="n"/>
      <c r="L26" s="14" t="n"/>
      <c r="M26" s="14" t="n"/>
      <c r="N26" s="14" t="n"/>
      <c r="O26" s="14" t="n"/>
      <c r="P26" s="14" t="n"/>
      <c r="Q26" s="13" t="n"/>
      <c r="R26" s="16">
        <f>IF(C26="","",ROUND((C26+SUM(D26:I26))-(C26+SUM(D26:I26))/$F$2*N(J26)+C26/$F$3*$H$3*N(K26)+N(L26),2))</f>
        <v/>
      </c>
      <c r="S26" s="16">
        <f>IF(C26="","",ROUND((C26+SUMPRODUCT(D26:I26,--(D$7:I$7="Yes")))*(1-N(J26)/$F$2),2))</f>
        <v/>
      </c>
      <c r="T26" s="16">
        <f>IF(S26="","",ROUND(S26*8%,2))</f>
        <v/>
      </c>
      <c r="U26" s="16">
        <f>IF(S26="","",ROUND(S26*12%,2))</f>
        <v/>
      </c>
      <c r="V26" s="16">
        <f>IF(S26="","",ROUND(S26*3%,2))</f>
        <v/>
      </c>
      <c r="W26" s="16">
        <f>IF(R26="","",R26-T26-(N(M26)+N(N26)+N(O26)+N(P26)))</f>
        <v/>
      </c>
    </row>
    <row r="27">
      <c r="A27" s="13" t="n"/>
      <c r="B27" s="13" t="n"/>
      <c r="C27" s="14" t="n"/>
      <c r="D27" s="14" t="n"/>
      <c r="E27" s="14" t="n"/>
      <c r="F27" s="14" t="n"/>
      <c r="G27" s="14" t="n"/>
      <c r="H27" s="14" t="n"/>
      <c r="I27" s="14" t="n"/>
      <c r="J27" s="15" t="n"/>
      <c r="K27" s="15" t="n"/>
      <c r="L27" s="14" t="n"/>
      <c r="M27" s="14" t="n"/>
      <c r="N27" s="14" t="n"/>
      <c r="O27" s="14" t="n"/>
      <c r="P27" s="14" t="n"/>
      <c r="Q27" s="13" t="n"/>
      <c r="R27" s="16">
        <f>IF(C27="","",ROUND((C27+SUM(D27:I27))-(C27+SUM(D27:I27))/$F$2*N(J27)+C27/$F$3*$H$3*N(K27)+N(L27),2))</f>
        <v/>
      </c>
      <c r="S27" s="16">
        <f>IF(C27="","",ROUND((C27+SUMPRODUCT(D27:I27,--(D$7:I$7="Yes")))*(1-N(J27)/$F$2),2))</f>
        <v/>
      </c>
      <c r="T27" s="16">
        <f>IF(S27="","",ROUND(S27*8%,2))</f>
        <v/>
      </c>
      <c r="U27" s="16">
        <f>IF(S27="","",ROUND(S27*12%,2))</f>
        <v/>
      </c>
      <c r="V27" s="16">
        <f>IF(S27="","",ROUND(S27*3%,2))</f>
        <v/>
      </c>
      <c r="W27" s="16">
        <f>IF(R27="","",R27-T27-(N(M27)+N(N27)+N(O27)+N(P27)))</f>
        <v/>
      </c>
    </row>
    <row r="28">
      <c r="A28" s="13" t="n"/>
      <c r="B28" s="13" t="n"/>
      <c r="C28" s="14" t="n"/>
      <c r="D28" s="14" t="n"/>
      <c r="E28" s="14" t="n"/>
      <c r="F28" s="14" t="n"/>
      <c r="G28" s="14" t="n"/>
      <c r="H28" s="14" t="n"/>
      <c r="I28" s="14" t="n"/>
      <c r="J28" s="15" t="n"/>
      <c r="K28" s="15" t="n"/>
      <c r="L28" s="14" t="n"/>
      <c r="M28" s="14" t="n"/>
      <c r="N28" s="14" t="n"/>
      <c r="O28" s="14" t="n"/>
      <c r="P28" s="14" t="n"/>
      <c r="Q28" s="13" t="n"/>
      <c r="R28" s="16">
        <f>IF(C28="","",ROUND((C28+SUM(D28:I28))-(C28+SUM(D28:I28))/$F$2*N(J28)+C28/$F$3*$H$3*N(K28)+N(L28),2))</f>
        <v/>
      </c>
      <c r="S28" s="16">
        <f>IF(C28="","",ROUND((C28+SUMPRODUCT(D28:I28,--(D$7:I$7="Yes")))*(1-N(J28)/$F$2),2))</f>
        <v/>
      </c>
      <c r="T28" s="16">
        <f>IF(S28="","",ROUND(S28*8%,2))</f>
        <v/>
      </c>
      <c r="U28" s="16">
        <f>IF(S28="","",ROUND(S28*12%,2))</f>
        <v/>
      </c>
      <c r="V28" s="16">
        <f>IF(S28="","",ROUND(S28*3%,2))</f>
        <v/>
      </c>
      <c r="W28" s="16">
        <f>IF(R28="","",R28-T28-(N(M28)+N(N28)+N(O28)+N(P28)))</f>
        <v/>
      </c>
    </row>
    <row r="29">
      <c r="A29" s="13" t="n"/>
      <c r="B29" s="13" t="n"/>
      <c r="C29" s="14" t="n"/>
      <c r="D29" s="14" t="n"/>
      <c r="E29" s="14" t="n"/>
      <c r="F29" s="14" t="n"/>
      <c r="G29" s="14" t="n"/>
      <c r="H29" s="14" t="n"/>
      <c r="I29" s="14" t="n"/>
      <c r="J29" s="15" t="n"/>
      <c r="K29" s="15" t="n"/>
      <c r="L29" s="14" t="n"/>
      <c r="M29" s="14" t="n"/>
      <c r="N29" s="14" t="n"/>
      <c r="O29" s="14" t="n"/>
      <c r="P29" s="14" t="n"/>
      <c r="Q29" s="13" t="n"/>
      <c r="R29" s="16">
        <f>IF(C29="","",ROUND((C29+SUM(D29:I29))-(C29+SUM(D29:I29))/$F$2*N(J29)+C29/$F$3*$H$3*N(K29)+N(L29),2))</f>
        <v/>
      </c>
      <c r="S29" s="16">
        <f>IF(C29="","",ROUND((C29+SUMPRODUCT(D29:I29,--(D$7:I$7="Yes")))*(1-N(J29)/$F$2),2))</f>
        <v/>
      </c>
      <c r="T29" s="16">
        <f>IF(S29="","",ROUND(S29*8%,2))</f>
        <v/>
      </c>
      <c r="U29" s="16">
        <f>IF(S29="","",ROUND(S29*12%,2))</f>
        <v/>
      </c>
      <c r="V29" s="16">
        <f>IF(S29="","",ROUND(S29*3%,2))</f>
        <v/>
      </c>
      <c r="W29" s="16">
        <f>IF(R29="","",R29-T29-(N(M29)+N(N29)+N(O29)+N(P29)))</f>
        <v/>
      </c>
    </row>
    <row r="30">
      <c r="A30" s="13" t="n"/>
      <c r="B30" s="13" t="n"/>
      <c r="C30" s="14" t="n"/>
      <c r="D30" s="14" t="n"/>
      <c r="E30" s="14" t="n"/>
      <c r="F30" s="14" t="n"/>
      <c r="G30" s="14" t="n"/>
      <c r="H30" s="14" t="n"/>
      <c r="I30" s="14" t="n"/>
      <c r="J30" s="15" t="n"/>
      <c r="K30" s="15" t="n"/>
      <c r="L30" s="14" t="n"/>
      <c r="M30" s="14" t="n"/>
      <c r="N30" s="14" t="n"/>
      <c r="O30" s="14" t="n"/>
      <c r="P30" s="14" t="n"/>
      <c r="Q30" s="13" t="n"/>
      <c r="R30" s="16">
        <f>IF(C30="","",ROUND((C30+SUM(D30:I30))-(C30+SUM(D30:I30))/$F$2*N(J30)+C30/$F$3*$H$3*N(K30)+N(L30),2))</f>
        <v/>
      </c>
      <c r="S30" s="16">
        <f>IF(C30="","",ROUND((C30+SUMPRODUCT(D30:I30,--(D$7:I$7="Yes")))*(1-N(J30)/$F$2),2))</f>
        <v/>
      </c>
      <c r="T30" s="16">
        <f>IF(S30="","",ROUND(S30*8%,2))</f>
        <v/>
      </c>
      <c r="U30" s="16">
        <f>IF(S30="","",ROUND(S30*12%,2))</f>
        <v/>
      </c>
      <c r="V30" s="16">
        <f>IF(S30="","",ROUND(S30*3%,2))</f>
        <v/>
      </c>
      <c r="W30" s="16">
        <f>IF(R30="","",R30-T30-(N(M30)+N(N30)+N(O30)+N(P30)))</f>
        <v/>
      </c>
    </row>
    <row r="31">
      <c r="A31" s="13" t="n"/>
      <c r="B31" s="13" t="n"/>
      <c r="C31" s="14" t="n"/>
      <c r="D31" s="14" t="n"/>
      <c r="E31" s="14" t="n"/>
      <c r="F31" s="14" t="n"/>
      <c r="G31" s="14" t="n"/>
      <c r="H31" s="14" t="n"/>
      <c r="I31" s="14" t="n"/>
      <c r="J31" s="15" t="n"/>
      <c r="K31" s="15" t="n"/>
      <c r="L31" s="14" t="n"/>
      <c r="M31" s="14" t="n"/>
      <c r="N31" s="14" t="n"/>
      <c r="O31" s="14" t="n"/>
      <c r="P31" s="14" t="n"/>
      <c r="Q31" s="13" t="n"/>
      <c r="R31" s="16">
        <f>IF(C31="","",ROUND((C31+SUM(D31:I31))-(C31+SUM(D31:I31))/$F$2*N(J31)+C31/$F$3*$H$3*N(K31)+N(L31),2))</f>
        <v/>
      </c>
      <c r="S31" s="16">
        <f>IF(C31="","",ROUND((C31+SUMPRODUCT(D31:I31,--(D$7:I$7="Yes")))*(1-N(J31)/$F$2),2))</f>
        <v/>
      </c>
      <c r="T31" s="16">
        <f>IF(S31="","",ROUND(S31*8%,2))</f>
        <v/>
      </c>
      <c r="U31" s="16">
        <f>IF(S31="","",ROUND(S31*12%,2))</f>
        <v/>
      </c>
      <c r="V31" s="16">
        <f>IF(S31="","",ROUND(S31*3%,2))</f>
        <v/>
      </c>
      <c r="W31" s="16">
        <f>IF(R31="","",R31-T31-(N(M31)+N(N31)+N(O31)+N(P31)))</f>
        <v/>
      </c>
    </row>
    <row r="32">
      <c r="A32" s="13" t="n"/>
      <c r="B32" s="13" t="n"/>
      <c r="C32" s="14" t="n"/>
      <c r="D32" s="14" t="n"/>
      <c r="E32" s="14" t="n"/>
      <c r="F32" s="14" t="n"/>
      <c r="G32" s="14" t="n"/>
      <c r="H32" s="14" t="n"/>
      <c r="I32" s="14" t="n"/>
      <c r="J32" s="15" t="n"/>
      <c r="K32" s="15" t="n"/>
      <c r="L32" s="14" t="n"/>
      <c r="M32" s="14" t="n"/>
      <c r="N32" s="14" t="n"/>
      <c r="O32" s="14" t="n"/>
      <c r="P32" s="14" t="n"/>
      <c r="Q32" s="13" t="n"/>
      <c r="R32" s="16">
        <f>IF(C32="","",ROUND((C32+SUM(D32:I32))-(C32+SUM(D32:I32))/$F$2*N(J32)+C32/$F$3*$H$3*N(K32)+N(L32),2))</f>
        <v/>
      </c>
      <c r="S32" s="16">
        <f>IF(C32="","",ROUND((C32+SUMPRODUCT(D32:I32,--(D$7:I$7="Yes")))*(1-N(J32)/$F$2),2))</f>
        <v/>
      </c>
      <c r="T32" s="16">
        <f>IF(S32="","",ROUND(S32*8%,2))</f>
        <v/>
      </c>
      <c r="U32" s="16">
        <f>IF(S32="","",ROUND(S32*12%,2))</f>
        <v/>
      </c>
      <c r="V32" s="16">
        <f>IF(S32="","",ROUND(S32*3%,2))</f>
        <v/>
      </c>
      <c r="W32" s="16">
        <f>IF(R32="","",R32-T32-(N(M32)+N(N32)+N(O32)+N(P32)))</f>
        <v/>
      </c>
    </row>
    <row r="33">
      <c r="A33" s="13" t="n"/>
      <c r="B33" s="13" t="n"/>
      <c r="C33" s="14" t="n"/>
      <c r="D33" s="14" t="n"/>
      <c r="E33" s="14" t="n"/>
      <c r="F33" s="14" t="n"/>
      <c r="G33" s="14" t="n"/>
      <c r="H33" s="14" t="n"/>
      <c r="I33" s="14" t="n"/>
      <c r="J33" s="15" t="n"/>
      <c r="K33" s="15" t="n"/>
      <c r="L33" s="14" t="n"/>
      <c r="M33" s="14" t="n"/>
      <c r="N33" s="14" t="n"/>
      <c r="O33" s="14" t="n"/>
      <c r="P33" s="14" t="n"/>
      <c r="Q33" s="13" t="n"/>
      <c r="R33" s="16">
        <f>IF(C33="","",ROUND((C33+SUM(D33:I33))-(C33+SUM(D33:I33))/$F$2*N(J33)+C33/$F$3*$H$3*N(K33)+N(L33),2))</f>
        <v/>
      </c>
      <c r="S33" s="16">
        <f>IF(C33="","",ROUND((C33+SUMPRODUCT(D33:I33,--(D$7:I$7="Yes")))*(1-N(J33)/$F$2),2))</f>
        <v/>
      </c>
      <c r="T33" s="16">
        <f>IF(S33="","",ROUND(S33*8%,2))</f>
        <v/>
      </c>
      <c r="U33" s="16">
        <f>IF(S33="","",ROUND(S33*12%,2))</f>
        <v/>
      </c>
      <c r="V33" s="16">
        <f>IF(S33="","",ROUND(S33*3%,2))</f>
        <v/>
      </c>
      <c r="W33" s="16">
        <f>IF(R33="","",R33-T33-(N(M33)+N(N33)+N(O33)+N(P33)))</f>
        <v/>
      </c>
    </row>
    <row r="34">
      <c r="A34" s="13" t="n"/>
      <c r="B34" s="13" t="n"/>
      <c r="C34" s="14" t="n"/>
      <c r="D34" s="14" t="n"/>
      <c r="E34" s="14" t="n"/>
      <c r="F34" s="14" t="n"/>
      <c r="G34" s="14" t="n"/>
      <c r="H34" s="14" t="n"/>
      <c r="I34" s="14" t="n"/>
      <c r="J34" s="15" t="n"/>
      <c r="K34" s="15" t="n"/>
      <c r="L34" s="14" t="n"/>
      <c r="M34" s="14" t="n"/>
      <c r="N34" s="14" t="n"/>
      <c r="O34" s="14" t="n"/>
      <c r="P34" s="14" t="n"/>
      <c r="Q34" s="13" t="n"/>
      <c r="R34" s="16">
        <f>IF(C34="","",ROUND((C34+SUM(D34:I34))-(C34+SUM(D34:I34))/$F$2*N(J34)+C34/$F$3*$H$3*N(K34)+N(L34),2))</f>
        <v/>
      </c>
      <c r="S34" s="16">
        <f>IF(C34="","",ROUND((C34+SUMPRODUCT(D34:I34,--(D$7:I$7="Yes")))*(1-N(J34)/$F$2),2))</f>
        <v/>
      </c>
      <c r="T34" s="16">
        <f>IF(S34="","",ROUND(S34*8%,2))</f>
        <v/>
      </c>
      <c r="U34" s="16">
        <f>IF(S34="","",ROUND(S34*12%,2))</f>
        <v/>
      </c>
      <c r="V34" s="16">
        <f>IF(S34="","",ROUND(S34*3%,2))</f>
        <v/>
      </c>
      <c r="W34" s="16">
        <f>IF(R34="","",R34-T34-(N(M34)+N(N34)+N(O34)+N(P34)))</f>
        <v/>
      </c>
    </row>
    <row r="35">
      <c r="A35" s="13" t="n"/>
      <c r="B35" s="13" t="n"/>
      <c r="C35" s="14" t="n"/>
      <c r="D35" s="14" t="n"/>
      <c r="E35" s="14" t="n"/>
      <c r="F35" s="14" t="n"/>
      <c r="G35" s="14" t="n"/>
      <c r="H35" s="14" t="n"/>
      <c r="I35" s="14" t="n"/>
      <c r="J35" s="15" t="n"/>
      <c r="K35" s="15" t="n"/>
      <c r="L35" s="14" t="n"/>
      <c r="M35" s="14" t="n"/>
      <c r="N35" s="14" t="n"/>
      <c r="O35" s="14" t="n"/>
      <c r="P35" s="14" t="n"/>
      <c r="Q35" s="13" t="n"/>
      <c r="R35" s="16">
        <f>IF(C35="","",ROUND((C35+SUM(D35:I35))-(C35+SUM(D35:I35))/$F$2*N(J35)+C35/$F$3*$H$3*N(K35)+N(L35),2))</f>
        <v/>
      </c>
      <c r="S35" s="16">
        <f>IF(C35="","",ROUND((C35+SUMPRODUCT(D35:I35,--(D$7:I$7="Yes")))*(1-N(J35)/$F$2),2))</f>
        <v/>
      </c>
      <c r="T35" s="16">
        <f>IF(S35="","",ROUND(S35*8%,2))</f>
        <v/>
      </c>
      <c r="U35" s="16">
        <f>IF(S35="","",ROUND(S35*12%,2))</f>
        <v/>
      </c>
      <c r="V35" s="16">
        <f>IF(S35="","",ROUND(S35*3%,2))</f>
        <v/>
      </c>
      <c r="W35" s="16">
        <f>IF(R35="","",R35-T35-(N(M35)+N(N35)+N(O35)+N(P35)))</f>
        <v/>
      </c>
    </row>
    <row r="36">
      <c r="A36" s="13" t="n"/>
      <c r="B36" s="13" t="n"/>
      <c r="C36" s="14" t="n"/>
      <c r="D36" s="14" t="n"/>
      <c r="E36" s="14" t="n"/>
      <c r="F36" s="14" t="n"/>
      <c r="G36" s="14" t="n"/>
      <c r="H36" s="14" t="n"/>
      <c r="I36" s="14" t="n"/>
      <c r="J36" s="15" t="n"/>
      <c r="K36" s="15" t="n"/>
      <c r="L36" s="14" t="n"/>
      <c r="M36" s="14" t="n"/>
      <c r="N36" s="14" t="n"/>
      <c r="O36" s="14" t="n"/>
      <c r="P36" s="14" t="n"/>
      <c r="Q36" s="13" t="n"/>
      <c r="R36" s="16">
        <f>IF(C36="","",ROUND((C36+SUM(D36:I36))-(C36+SUM(D36:I36))/$F$2*N(J36)+C36/$F$3*$H$3*N(K36)+N(L36),2))</f>
        <v/>
      </c>
      <c r="S36" s="16">
        <f>IF(C36="","",ROUND((C36+SUMPRODUCT(D36:I36,--(D$7:I$7="Yes")))*(1-N(J36)/$F$2),2))</f>
        <v/>
      </c>
      <c r="T36" s="16">
        <f>IF(S36="","",ROUND(S36*8%,2))</f>
        <v/>
      </c>
      <c r="U36" s="16">
        <f>IF(S36="","",ROUND(S36*12%,2))</f>
        <v/>
      </c>
      <c r="V36" s="16">
        <f>IF(S36="","",ROUND(S36*3%,2))</f>
        <v/>
      </c>
      <c r="W36" s="16">
        <f>IF(R36="","",R36-T36-(N(M36)+N(N36)+N(O36)+N(P36)))</f>
        <v/>
      </c>
    </row>
    <row r="37">
      <c r="A37" s="13" t="n"/>
      <c r="B37" s="13" t="n"/>
      <c r="C37" s="14" t="n"/>
      <c r="D37" s="14" t="n"/>
      <c r="E37" s="14" t="n"/>
      <c r="F37" s="14" t="n"/>
      <c r="G37" s="14" t="n"/>
      <c r="H37" s="14" t="n"/>
      <c r="I37" s="14" t="n"/>
      <c r="J37" s="15" t="n"/>
      <c r="K37" s="15" t="n"/>
      <c r="L37" s="14" t="n"/>
      <c r="M37" s="14" t="n"/>
      <c r="N37" s="14" t="n"/>
      <c r="O37" s="14" t="n"/>
      <c r="P37" s="14" t="n"/>
      <c r="Q37" s="13" t="n"/>
      <c r="R37" s="16">
        <f>IF(C37="","",ROUND((C37+SUM(D37:I37))-(C37+SUM(D37:I37))/$F$2*N(J37)+C37/$F$3*$H$3*N(K37)+N(L37),2))</f>
        <v/>
      </c>
      <c r="S37" s="16">
        <f>IF(C37="","",ROUND((C37+SUMPRODUCT(D37:I37,--(D$7:I$7="Yes")))*(1-N(J37)/$F$2),2))</f>
        <v/>
      </c>
      <c r="T37" s="16">
        <f>IF(S37="","",ROUND(S37*8%,2))</f>
        <v/>
      </c>
      <c r="U37" s="16">
        <f>IF(S37="","",ROUND(S37*12%,2))</f>
        <v/>
      </c>
      <c r="V37" s="16">
        <f>IF(S37="","",ROUND(S37*3%,2))</f>
        <v/>
      </c>
      <c r="W37" s="16">
        <f>IF(R37="","",R37-T37-(N(M37)+N(N37)+N(O37)+N(P37)))</f>
        <v/>
      </c>
    </row>
    <row r="38">
      <c r="A38" s="13" t="n"/>
      <c r="B38" s="13" t="n"/>
      <c r="C38" s="14" t="n"/>
      <c r="D38" s="14" t="n"/>
      <c r="E38" s="14" t="n"/>
      <c r="F38" s="14" t="n"/>
      <c r="G38" s="14" t="n"/>
      <c r="H38" s="14" t="n"/>
      <c r="I38" s="14" t="n"/>
      <c r="J38" s="15" t="n"/>
      <c r="K38" s="15" t="n"/>
      <c r="L38" s="14" t="n"/>
      <c r="M38" s="14" t="n"/>
      <c r="N38" s="14" t="n"/>
      <c r="O38" s="14" t="n"/>
      <c r="P38" s="14" t="n"/>
      <c r="Q38" s="13" t="n"/>
      <c r="R38" s="16">
        <f>IF(C38="","",ROUND((C38+SUM(D38:I38))-(C38+SUM(D38:I38))/$F$2*N(J38)+C38/$F$3*$H$3*N(K38)+N(L38),2))</f>
        <v/>
      </c>
      <c r="S38" s="16">
        <f>IF(C38="","",ROUND((C38+SUMPRODUCT(D38:I38,--(D$7:I$7="Yes")))*(1-N(J38)/$F$2),2))</f>
        <v/>
      </c>
      <c r="T38" s="16">
        <f>IF(S38="","",ROUND(S38*8%,2))</f>
        <v/>
      </c>
      <c r="U38" s="16">
        <f>IF(S38="","",ROUND(S38*12%,2))</f>
        <v/>
      </c>
      <c r="V38" s="16">
        <f>IF(S38="","",ROUND(S38*3%,2))</f>
        <v/>
      </c>
      <c r="W38" s="16">
        <f>IF(R38="","",R38-T38-(N(M38)+N(N38)+N(O38)+N(P38)))</f>
        <v/>
      </c>
    </row>
    <row r="39">
      <c r="A39" s="13" t="n"/>
      <c r="B39" s="13" t="n"/>
      <c r="C39" s="14" t="n"/>
      <c r="D39" s="14" t="n"/>
      <c r="E39" s="14" t="n"/>
      <c r="F39" s="14" t="n"/>
      <c r="G39" s="14" t="n"/>
      <c r="H39" s="14" t="n"/>
      <c r="I39" s="14" t="n"/>
      <c r="J39" s="15" t="n"/>
      <c r="K39" s="15" t="n"/>
      <c r="L39" s="14" t="n"/>
      <c r="M39" s="14" t="n"/>
      <c r="N39" s="14" t="n"/>
      <c r="O39" s="14" t="n"/>
      <c r="P39" s="14" t="n"/>
      <c r="Q39" s="13" t="n"/>
      <c r="R39" s="16">
        <f>IF(C39="","",ROUND((C39+SUM(D39:I39))-(C39+SUM(D39:I39))/$F$2*N(J39)+C39/$F$3*$H$3*N(K39)+N(L39),2))</f>
        <v/>
      </c>
      <c r="S39" s="16">
        <f>IF(C39="","",ROUND((C39+SUMPRODUCT(D39:I39,--(D$7:I$7="Yes")))*(1-N(J39)/$F$2),2))</f>
        <v/>
      </c>
      <c r="T39" s="16">
        <f>IF(S39="","",ROUND(S39*8%,2))</f>
        <v/>
      </c>
      <c r="U39" s="16">
        <f>IF(S39="","",ROUND(S39*12%,2))</f>
        <v/>
      </c>
      <c r="V39" s="16">
        <f>IF(S39="","",ROUND(S39*3%,2))</f>
        <v/>
      </c>
      <c r="W39" s="16">
        <f>IF(R39="","",R39-T39-(N(M39)+N(N39)+N(O39)+N(P39)))</f>
        <v/>
      </c>
    </row>
    <row r="40">
      <c r="A40" s="13" t="n"/>
      <c r="B40" s="13" t="n"/>
      <c r="C40" s="14" t="n"/>
      <c r="D40" s="14" t="n"/>
      <c r="E40" s="14" t="n"/>
      <c r="F40" s="14" t="n"/>
      <c r="G40" s="14" t="n"/>
      <c r="H40" s="14" t="n"/>
      <c r="I40" s="14" t="n"/>
      <c r="J40" s="15" t="n"/>
      <c r="K40" s="15" t="n"/>
      <c r="L40" s="14" t="n"/>
      <c r="M40" s="14" t="n"/>
      <c r="N40" s="14" t="n"/>
      <c r="O40" s="14" t="n"/>
      <c r="P40" s="14" t="n"/>
      <c r="Q40" s="13" t="n"/>
      <c r="R40" s="16">
        <f>IF(C40="","",ROUND((C40+SUM(D40:I40))-(C40+SUM(D40:I40))/$F$2*N(J40)+C40/$F$3*$H$3*N(K40)+N(L40),2))</f>
        <v/>
      </c>
      <c r="S40" s="16">
        <f>IF(C40="","",ROUND((C40+SUMPRODUCT(D40:I40,--(D$7:I$7="Yes")))*(1-N(J40)/$F$2),2))</f>
        <v/>
      </c>
      <c r="T40" s="16">
        <f>IF(S40="","",ROUND(S40*8%,2))</f>
        <v/>
      </c>
      <c r="U40" s="16">
        <f>IF(S40="","",ROUND(S40*12%,2))</f>
        <v/>
      </c>
      <c r="V40" s="16">
        <f>IF(S40="","",ROUND(S40*3%,2))</f>
        <v/>
      </c>
      <c r="W40" s="16">
        <f>IF(R40="","",R40-T40-(N(M40)+N(N40)+N(O40)+N(P40)))</f>
        <v/>
      </c>
    </row>
    <row r="41">
      <c r="A41" s="13" t="n"/>
      <c r="B41" s="13" t="n"/>
      <c r="C41" s="14" t="n"/>
      <c r="D41" s="14" t="n"/>
      <c r="E41" s="14" t="n"/>
      <c r="F41" s="14" t="n"/>
      <c r="G41" s="14" t="n"/>
      <c r="H41" s="14" t="n"/>
      <c r="I41" s="14" t="n"/>
      <c r="J41" s="15" t="n"/>
      <c r="K41" s="15" t="n"/>
      <c r="L41" s="14" t="n"/>
      <c r="M41" s="14" t="n"/>
      <c r="N41" s="14" t="n"/>
      <c r="O41" s="14" t="n"/>
      <c r="P41" s="14" t="n"/>
      <c r="Q41" s="13" t="n"/>
      <c r="R41" s="16">
        <f>IF(C41="","",ROUND((C41+SUM(D41:I41))-(C41+SUM(D41:I41))/$F$2*N(J41)+C41/$F$3*$H$3*N(K41)+N(L41),2))</f>
        <v/>
      </c>
      <c r="S41" s="16">
        <f>IF(C41="","",ROUND((C41+SUMPRODUCT(D41:I41,--(D$7:I$7="Yes")))*(1-N(J41)/$F$2),2))</f>
        <v/>
      </c>
      <c r="T41" s="16">
        <f>IF(S41="","",ROUND(S41*8%,2))</f>
        <v/>
      </c>
      <c r="U41" s="16">
        <f>IF(S41="","",ROUND(S41*12%,2))</f>
        <v/>
      </c>
      <c r="V41" s="16">
        <f>IF(S41="","",ROUND(S41*3%,2))</f>
        <v/>
      </c>
      <c r="W41" s="16">
        <f>IF(R41="","",R41-T41-(N(M41)+N(N41)+N(O41)+N(P41)))</f>
        <v/>
      </c>
    </row>
    <row r="42">
      <c r="A42" s="13" t="n"/>
      <c r="B42" s="13" t="n"/>
      <c r="C42" s="14" t="n"/>
      <c r="D42" s="14" t="n"/>
      <c r="E42" s="14" t="n"/>
      <c r="F42" s="14" t="n"/>
      <c r="G42" s="14" t="n"/>
      <c r="H42" s="14" t="n"/>
      <c r="I42" s="14" t="n"/>
      <c r="J42" s="15" t="n"/>
      <c r="K42" s="15" t="n"/>
      <c r="L42" s="14" t="n"/>
      <c r="M42" s="14" t="n"/>
      <c r="N42" s="14" t="n"/>
      <c r="O42" s="14" t="n"/>
      <c r="P42" s="14" t="n"/>
      <c r="Q42" s="13" t="n"/>
      <c r="R42" s="16">
        <f>IF(C42="","",ROUND((C42+SUM(D42:I42))-(C42+SUM(D42:I42))/$F$2*N(J42)+C42/$F$3*$H$3*N(K42)+N(L42),2))</f>
        <v/>
      </c>
      <c r="S42" s="16">
        <f>IF(C42="","",ROUND((C42+SUMPRODUCT(D42:I42,--(D$7:I$7="Yes")))*(1-N(J42)/$F$2),2))</f>
        <v/>
      </c>
      <c r="T42" s="16">
        <f>IF(S42="","",ROUND(S42*8%,2))</f>
        <v/>
      </c>
      <c r="U42" s="16">
        <f>IF(S42="","",ROUND(S42*12%,2))</f>
        <v/>
      </c>
      <c r="V42" s="16">
        <f>IF(S42="","",ROUND(S42*3%,2))</f>
        <v/>
      </c>
      <c r="W42" s="16">
        <f>IF(R42="","",R42-T42-(N(M42)+N(N42)+N(O42)+N(P42)))</f>
        <v/>
      </c>
    </row>
    <row r="43">
      <c r="A43" s="13" t="n"/>
      <c r="B43" s="13" t="n"/>
      <c r="C43" s="14" t="n"/>
      <c r="D43" s="14" t="n"/>
      <c r="E43" s="14" t="n"/>
      <c r="F43" s="14" t="n"/>
      <c r="G43" s="14" t="n"/>
      <c r="H43" s="14" t="n"/>
      <c r="I43" s="14" t="n"/>
      <c r="J43" s="15" t="n"/>
      <c r="K43" s="15" t="n"/>
      <c r="L43" s="14" t="n"/>
      <c r="M43" s="14" t="n"/>
      <c r="N43" s="14" t="n"/>
      <c r="O43" s="14" t="n"/>
      <c r="P43" s="14" t="n"/>
      <c r="Q43" s="13" t="n"/>
      <c r="R43" s="16">
        <f>IF(C43="","",ROUND((C43+SUM(D43:I43))-(C43+SUM(D43:I43))/$F$2*N(J43)+C43/$F$3*$H$3*N(K43)+N(L43),2))</f>
        <v/>
      </c>
      <c r="S43" s="16">
        <f>IF(C43="","",ROUND((C43+SUMPRODUCT(D43:I43,--(D$7:I$7="Yes")))*(1-N(J43)/$F$2),2))</f>
        <v/>
      </c>
      <c r="T43" s="16">
        <f>IF(S43="","",ROUND(S43*8%,2))</f>
        <v/>
      </c>
      <c r="U43" s="16">
        <f>IF(S43="","",ROUND(S43*12%,2))</f>
        <v/>
      </c>
      <c r="V43" s="16">
        <f>IF(S43="","",ROUND(S43*3%,2))</f>
        <v/>
      </c>
      <c r="W43" s="16">
        <f>IF(R43="","",R43-T43-(N(M43)+N(N43)+N(O43)+N(P43)))</f>
        <v/>
      </c>
    </row>
    <row r="44">
      <c r="A44" s="13" t="n"/>
      <c r="B44" s="13" t="n"/>
      <c r="C44" s="14" t="n"/>
      <c r="D44" s="14" t="n"/>
      <c r="E44" s="14" t="n"/>
      <c r="F44" s="14" t="n"/>
      <c r="G44" s="14" t="n"/>
      <c r="H44" s="14" t="n"/>
      <c r="I44" s="14" t="n"/>
      <c r="J44" s="15" t="n"/>
      <c r="K44" s="15" t="n"/>
      <c r="L44" s="14" t="n"/>
      <c r="M44" s="14" t="n"/>
      <c r="N44" s="14" t="n"/>
      <c r="O44" s="14" t="n"/>
      <c r="P44" s="14" t="n"/>
      <c r="Q44" s="13" t="n"/>
      <c r="R44" s="16">
        <f>IF(C44="","",ROUND((C44+SUM(D44:I44))-(C44+SUM(D44:I44))/$F$2*N(J44)+C44/$F$3*$H$3*N(K44)+N(L44),2))</f>
        <v/>
      </c>
      <c r="S44" s="16">
        <f>IF(C44="","",ROUND((C44+SUMPRODUCT(D44:I44,--(D$7:I$7="Yes")))*(1-N(J44)/$F$2),2))</f>
        <v/>
      </c>
      <c r="T44" s="16">
        <f>IF(S44="","",ROUND(S44*8%,2))</f>
        <v/>
      </c>
      <c r="U44" s="16">
        <f>IF(S44="","",ROUND(S44*12%,2))</f>
        <v/>
      </c>
      <c r="V44" s="16">
        <f>IF(S44="","",ROUND(S44*3%,2))</f>
        <v/>
      </c>
      <c r="W44" s="16">
        <f>IF(R44="","",R44-T44-(N(M44)+N(N44)+N(O44)+N(P44)))</f>
        <v/>
      </c>
    </row>
    <row r="45">
      <c r="A45" s="13" t="n"/>
      <c r="B45" s="13" t="n"/>
      <c r="C45" s="14" t="n"/>
      <c r="D45" s="14" t="n"/>
      <c r="E45" s="14" t="n"/>
      <c r="F45" s="14" t="n"/>
      <c r="G45" s="14" t="n"/>
      <c r="H45" s="14" t="n"/>
      <c r="I45" s="14" t="n"/>
      <c r="J45" s="15" t="n"/>
      <c r="K45" s="15" t="n"/>
      <c r="L45" s="14" t="n"/>
      <c r="M45" s="14" t="n"/>
      <c r="N45" s="14" t="n"/>
      <c r="O45" s="14" t="n"/>
      <c r="P45" s="14" t="n"/>
      <c r="Q45" s="13" t="n"/>
      <c r="R45" s="16">
        <f>IF(C45="","",ROUND((C45+SUM(D45:I45))-(C45+SUM(D45:I45))/$F$2*N(J45)+C45/$F$3*$H$3*N(K45)+N(L45),2))</f>
        <v/>
      </c>
      <c r="S45" s="16">
        <f>IF(C45="","",ROUND((C45+SUMPRODUCT(D45:I45,--(D$7:I$7="Yes")))*(1-N(J45)/$F$2),2))</f>
        <v/>
      </c>
      <c r="T45" s="16">
        <f>IF(S45="","",ROUND(S45*8%,2))</f>
        <v/>
      </c>
      <c r="U45" s="16">
        <f>IF(S45="","",ROUND(S45*12%,2))</f>
        <v/>
      </c>
      <c r="V45" s="16">
        <f>IF(S45="","",ROUND(S45*3%,2))</f>
        <v/>
      </c>
      <c r="W45" s="16">
        <f>IF(R45="","",R45-T45-(N(M45)+N(N45)+N(O45)+N(P45)))</f>
        <v/>
      </c>
    </row>
    <row r="46">
      <c r="A46" s="13" t="n"/>
      <c r="B46" s="13" t="n"/>
      <c r="C46" s="14" t="n"/>
      <c r="D46" s="14" t="n"/>
      <c r="E46" s="14" t="n"/>
      <c r="F46" s="14" t="n"/>
      <c r="G46" s="14" t="n"/>
      <c r="H46" s="14" t="n"/>
      <c r="I46" s="14" t="n"/>
      <c r="J46" s="15" t="n"/>
      <c r="K46" s="15" t="n"/>
      <c r="L46" s="14" t="n"/>
      <c r="M46" s="14" t="n"/>
      <c r="N46" s="14" t="n"/>
      <c r="O46" s="14" t="n"/>
      <c r="P46" s="14" t="n"/>
      <c r="Q46" s="13" t="n"/>
      <c r="R46" s="16">
        <f>IF(C46="","",ROUND((C46+SUM(D46:I46))-(C46+SUM(D46:I46))/$F$2*N(J46)+C46/$F$3*$H$3*N(K46)+N(L46),2))</f>
        <v/>
      </c>
      <c r="S46" s="16">
        <f>IF(C46="","",ROUND((C46+SUMPRODUCT(D46:I46,--(D$7:I$7="Yes")))*(1-N(J46)/$F$2),2))</f>
        <v/>
      </c>
      <c r="T46" s="16">
        <f>IF(S46="","",ROUND(S46*8%,2))</f>
        <v/>
      </c>
      <c r="U46" s="16">
        <f>IF(S46="","",ROUND(S46*12%,2))</f>
        <v/>
      </c>
      <c r="V46" s="16">
        <f>IF(S46="","",ROUND(S46*3%,2))</f>
        <v/>
      </c>
      <c r="W46" s="16">
        <f>IF(R46="","",R46-T46-(N(M46)+N(N46)+N(O46)+N(P46)))</f>
        <v/>
      </c>
    </row>
    <row r="47">
      <c r="A47" s="13" t="n"/>
      <c r="B47" s="13" t="n"/>
      <c r="C47" s="14" t="n"/>
      <c r="D47" s="14" t="n"/>
      <c r="E47" s="14" t="n"/>
      <c r="F47" s="14" t="n"/>
      <c r="G47" s="14" t="n"/>
      <c r="H47" s="14" t="n"/>
      <c r="I47" s="14" t="n"/>
      <c r="J47" s="15" t="n"/>
      <c r="K47" s="15" t="n"/>
      <c r="L47" s="14" t="n"/>
      <c r="M47" s="14" t="n"/>
      <c r="N47" s="14" t="n"/>
      <c r="O47" s="14" t="n"/>
      <c r="P47" s="14" t="n"/>
      <c r="Q47" s="13" t="n"/>
      <c r="R47" s="16">
        <f>IF(C47="","",ROUND((C47+SUM(D47:I47))-(C47+SUM(D47:I47))/$F$2*N(J47)+C47/$F$3*$H$3*N(K47)+N(L47),2))</f>
        <v/>
      </c>
      <c r="S47" s="16">
        <f>IF(C47="","",ROUND((C47+SUMPRODUCT(D47:I47,--(D$7:I$7="Yes")))*(1-N(J47)/$F$2),2))</f>
        <v/>
      </c>
      <c r="T47" s="16">
        <f>IF(S47="","",ROUND(S47*8%,2))</f>
        <v/>
      </c>
      <c r="U47" s="16">
        <f>IF(S47="","",ROUND(S47*12%,2))</f>
        <v/>
      </c>
      <c r="V47" s="16">
        <f>IF(S47="","",ROUND(S47*3%,2))</f>
        <v/>
      </c>
      <c r="W47" s="16">
        <f>IF(R47="","",R47-T47-(N(M47)+N(N47)+N(O47)+N(P47)))</f>
        <v/>
      </c>
    </row>
    <row r="48">
      <c r="A48" s="13" t="n"/>
      <c r="B48" s="13" t="n"/>
      <c r="C48" s="14" t="n"/>
      <c r="D48" s="14" t="n"/>
      <c r="E48" s="14" t="n"/>
      <c r="F48" s="14" t="n"/>
      <c r="G48" s="14" t="n"/>
      <c r="H48" s="14" t="n"/>
      <c r="I48" s="14" t="n"/>
      <c r="J48" s="15" t="n"/>
      <c r="K48" s="15" t="n"/>
      <c r="L48" s="14" t="n"/>
      <c r="M48" s="14" t="n"/>
      <c r="N48" s="14" t="n"/>
      <c r="O48" s="14" t="n"/>
      <c r="P48" s="14" t="n"/>
      <c r="Q48" s="13" t="n"/>
      <c r="R48" s="16">
        <f>IF(C48="","",ROUND((C48+SUM(D48:I48))-(C48+SUM(D48:I48))/$F$2*N(J48)+C48/$F$3*$H$3*N(K48)+N(L48),2))</f>
        <v/>
      </c>
      <c r="S48" s="16">
        <f>IF(C48="","",ROUND((C48+SUMPRODUCT(D48:I48,--(D$7:I$7="Yes")))*(1-N(J48)/$F$2),2))</f>
        <v/>
      </c>
      <c r="T48" s="16">
        <f>IF(S48="","",ROUND(S48*8%,2))</f>
        <v/>
      </c>
      <c r="U48" s="16">
        <f>IF(S48="","",ROUND(S48*12%,2))</f>
        <v/>
      </c>
      <c r="V48" s="16">
        <f>IF(S48="","",ROUND(S48*3%,2))</f>
        <v/>
      </c>
      <c r="W48" s="16">
        <f>IF(R48="","",R48-T48-(N(M48)+N(N48)+N(O48)+N(P48)))</f>
        <v/>
      </c>
    </row>
    <row r="49">
      <c r="A49" s="13" t="n"/>
      <c r="B49" s="13" t="n"/>
      <c r="C49" s="14" t="n"/>
      <c r="D49" s="14" t="n"/>
      <c r="E49" s="14" t="n"/>
      <c r="F49" s="14" t="n"/>
      <c r="G49" s="14" t="n"/>
      <c r="H49" s="14" t="n"/>
      <c r="I49" s="14" t="n"/>
      <c r="J49" s="15" t="n"/>
      <c r="K49" s="15" t="n"/>
      <c r="L49" s="14" t="n"/>
      <c r="M49" s="14" t="n"/>
      <c r="N49" s="14" t="n"/>
      <c r="O49" s="14" t="n"/>
      <c r="P49" s="14" t="n"/>
      <c r="Q49" s="13" t="n"/>
      <c r="R49" s="16">
        <f>IF(C49="","",ROUND((C49+SUM(D49:I49))-(C49+SUM(D49:I49))/$F$2*N(J49)+C49/$F$3*$H$3*N(K49)+N(L49),2))</f>
        <v/>
      </c>
      <c r="S49" s="16">
        <f>IF(C49="","",ROUND((C49+SUMPRODUCT(D49:I49,--(D$7:I$7="Yes")))*(1-N(J49)/$F$2),2))</f>
        <v/>
      </c>
      <c r="T49" s="16">
        <f>IF(S49="","",ROUND(S49*8%,2))</f>
        <v/>
      </c>
      <c r="U49" s="16">
        <f>IF(S49="","",ROUND(S49*12%,2))</f>
        <v/>
      </c>
      <c r="V49" s="16">
        <f>IF(S49="","",ROUND(S49*3%,2))</f>
        <v/>
      </c>
      <c r="W49" s="16">
        <f>IF(R49="","",R49-T49-(N(M49)+N(N49)+N(O49)+N(P49)))</f>
        <v/>
      </c>
    </row>
    <row r="50">
      <c r="A50" s="13" t="n"/>
      <c r="B50" s="13" t="n"/>
      <c r="C50" s="14" t="n"/>
      <c r="D50" s="14" t="n"/>
      <c r="E50" s="14" t="n"/>
      <c r="F50" s="14" t="n"/>
      <c r="G50" s="14" t="n"/>
      <c r="H50" s="14" t="n"/>
      <c r="I50" s="14" t="n"/>
      <c r="J50" s="15" t="n"/>
      <c r="K50" s="15" t="n"/>
      <c r="L50" s="14" t="n"/>
      <c r="M50" s="14" t="n"/>
      <c r="N50" s="14" t="n"/>
      <c r="O50" s="14" t="n"/>
      <c r="P50" s="14" t="n"/>
      <c r="Q50" s="13" t="n"/>
      <c r="R50" s="16">
        <f>IF(C50="","",ROUND((C50+SUM(D50:I50))-(C50+SUM(D50:I50))/$F$2*N(J50)+C50/$F$3*$H$3*N(K50)+N(L50),2))</f>
        <v/>
      </c>
      <c r="S50" s="16">
        <f>IF(C50="","",ROUND((C50+SUMPRODUCT(D50:I50,--(D$7:I$7="Yes")))*(1-N(J50)/$F$2),2))</f>
        <v/>
      </c>
      <c r="T50" s="16">
        <f>IF(S50="","",ROUND(S50*8%,2))</f>
        <v/>
      </c>
      <c r="U50" s="16">
        <f>IF(S50="","",ROUND(S50*12%,2))</f>
        <v/>
      </c>
      <c r="V50" s="16">
        <f>IF(S50="","",ROUND(S50*3%,2))</f>
        <v/>
      </c>
      <c r="W50" s="16">
        <f>IF(R50="","",R50-T50-(N(M50)+N(N50)+N(O50)+N(P50)))</f>
        <v/>
      </c>
    </row>
    <row r="51">
      <c r="A51" s="13" t="n"/>
      <c r="B51" s="13" t="n"/>
      <c r="C51" s="14" t="n"/>
      <c r="D51" s="14" t="n"/>
      <c r="E51" s="14" t="n"/>
      <c r="F51" s="14" t="n"/>
      <c r="G51" s="14" t="n"/>
      <c r="H51" s="14" t="n"/>
      <c r="I51" s="14" t="n"/>
      <c r="J51" s="15" t="n"/>
      <c r="K51" s="15" t="n"/>
      <c r="L51" s="14" t="n"/>
      <c r="M51" s="14" t="n"/>
      <c r="N51" s="14" t="n"/>
      <c r="O51" s="14" t="n"/>
      <c r="P51" s="14" t="n"/>
      <c r="Q51" s="13" t="n"/>
      <c r="R51" s="16">
        <f>IF(C51="","",ROUND((C51+SUM(D51:I51))-(C51+SUM(D51:I51))/$F$2*N(J51)+C51/$F$3*$H$3*N(K51)+N(L51),2))</f>
        <v/>
      </c>
      <c r="S51" s="16">
        <f>IF(C51="","",ROUND((C51+SUMPRODUCT(D51:I51,--(D$7:I$7="Yes")))*(1-N(J51)/$F$2),2))</f>
        <v/>
      </c>
      <c r="T51" s="16">
        <f>IF(S51="","",ROUND(S51*8%,2))</f>
        <v/>
      </c>
      <c r="U51" s="16">
        <f>IF(S51="","",ROUND(S51*12%,2))</f>
        <v/>
      </c>
      <c r="V51" s="16">
        <f>IF(S51="","",ROUND(S51*3%,2))</f>
        <v/>
      </c>
      <c r="W51" s="16">
        <f>IF(R51="","",R51-T51-(N(M51)+N(N51)+N(O51)+N(P51)))</f>
        <v/>
      </c>
    </row>
    <row r="52">
      <c r="A52" s="13" t="n"/>
      <c r="B52" s="13" t="n"/>
      <c r="C52" s="14" t="n"/>
      <c r="D52" s="14" t="n"/>
      <c r="E52" s="14" t="n"/>
      <c r="F52" s="14" t="n"/>
      <c r="G52" s="14" t="n"/>
      <c r="H52" s="14" t="n"/>
      <c r="I52" s="14" t="n"/>
      <c r="J52" s="15" t="n"/>
      <c r="K52" s="15" t="n"/>
      <c r="L52" s="14" t="n"/>
      <c r="M52" s="14" t="n"/>
      <c r="N52" s="14" t="n"/>
      <c r="O52" s="14" t="n"/>
      <c r="P52" s="14" t="n"/>
      <c r="Q52" s="13" t="n"/>
      <c r="R52" s="16">
        <f>IF(C52="","",ROUND((C52+SUM(D52:I52))-(C52+SUM(D52:I52))/$F$2*N(J52)+C52/$F$3*$H$3*N(K52)+N(L52),2))</f>
        <v/>
      </c>
      <c r="S52" s="16">
        <f>IF(C52="","",ROUND((C52+SUMPRODUCT(D52:I52,--(D$7:I$7="Yes")))*(1-N(J52)/$F$2),2))</f>
        <v/>
      </c>
      <c r="T52" s="16">
        <f>IF(S52="","",ROUND(S52*8%,2))</f>
        <v/>
      </c>
      <c r="U52" s="16">
        <f>IF(S52="","",ROUND(S52*12%,2))</f>
        <v/>
      </c>
      <c r="V52" s="16">
        <f>IF(S52="","",ROUND(S52*3%,2))</f>
        <v/>
      </c>
      <c r="W52" s="16">
        <f>IF(R52="","",R52-T52-(N(M52)+N(N52)+N(O52)+N(P52)))</f>
        <v/>
      </c>
    </row>
    <row r="53">
      <c r="A53" s="13" t="n"/>
      <c r="B53" s="13" t="n"/>
      <c r="C53" s="14" t="n"/>
      <c r="D53" s="14" t="n"/>
      <c r="E53" s="14" t="n"/>
      <c r="F53" s="14" t="n"/>
      <c r="G53" s="14" t="n"/>
      <c r="H53" s="14" t="n"/>
      <c r="I53" s="14" t="n"/>
      <c r="J53" s="15" t="n"/>
      <c r="K53" s="15" t="n"/>
      <c r="L53" s="14" t="n"/>
      <c r="M53" s="14" t="n"/>
      <c r="N53" s="14" t="n"/>
      <c r="O53" s="14" t="n"/>
      <c r="P53" s="14" t="n"/>
      <c r="Q53" s="13" t="n"/>
      <c r="R53" s="16">
        <f>IF(C53="","",ROUND((C53+SUM(D53:I53))-(C53+SUM(D53:I53))/$F$2*N(J53)+C53/$F$3*$H$3*N(K53)+N(L53),2))</f>
        <v/>
      </c>
      <c r="S53" s="16">
        <f>IF(C53="","",ROUND((C53+SUMPRODUCT(D53:I53,--(D$7:I$7="Yes")))*(1-N(J53)/$F$2),2))</f>
        <v/>
      </c>
      <c r="T53" s="16">
        <f>IF(S53="","",ROUND(S53*8%,2))</f>
        <v/>
      </c>
      <c r="U53" s="16">
        <f>IF(S53="","",ROUND(S53*12%,2))</f>
        <v/>
      </c>
      <c r="V53" s="16">
        <f>IF(S53="","",ROUND(S53*3%,2))</f>
        <v/>
      </c>
      <c r="W53" s="16">
        <f>IF(R53="","",R53-T53-(N(M53)+N(N53)+N(O53)+N(P53)))</f>
        <v/>
      </c>
    </row>
    <row r="54">
      <c r="A54" s="13" t="n"/>
      <c r="B54" s="13" t="n"/>
      <c r="C54" s="14" t="n"/>
      <c r="D54" s="14" t="n"/>
      <c r="E54" s="14" t="n"/>
      <c r="F54" s="14" t="n"/>
      <c r="G54" s="14" t="n"/>
      <c r="H54" s="14" t="n"/>
      <c r="I54" s="14" t="n"/>
      <c r="J54" s="15" t="n"/>
      <c r="K54" s="15" t="n"/>
      <c r="L54" s="14" t="n"/>
      <c r="M54" s="14" t="n"/>
      <c r="N54" s="14" t="n"/>
      <c r="O54" s="14" t="n"/>
      <c r="P54" s="14" t="n"/>
      <c r="Q54" s="13" t="n"/>
      <c r="R54" s="16">
        <f>IF(C54="","",ROUND((C54+SUM(D54:I54))-(C54+SUM(D54:I54))/$F$2*N(J54)+C54/$F$3*$H$3*N(K54)+N(L54),2))</f>
        <v/>
      </c>
      <c r="S54" s="16">
        <f>IF(C54="","",ROUND((C54+SUMPRODUCT(D54:I54,--(D$7:I$7="Yes")))*(1-N(J54)/$F$2),2))</f>
        <v/>
      </c>
      <c r="T54" s="16">
        <f>IF(S54="","",ROUND(S54*8%,2))</f>
        <v/>
      </c>
      <c r="U54" s="16">
        <f>IF(S54="","",ROUND(S54*12%,2))</f>
        <v/>
      </c>
      <c r="V54" s="16">
        <f>IF(S54="","",ROUND(S54*3%,2))</f>
        <v/>
      </c>
      <c r="W54" s="16">
        <f>IF(R54="","",R54-T54-(N(M54)+N(N54)+N(O54)+N(P54)))</f>
        <v/>
      </c>
    </row>
    <row r="55">
      <c r="A55" s="13" t="n"/>
      <c r="B55" s="13" t="n"/>
      <c r="C55" s="14" t="n"/>
      <c r="D55" s="14" t="n"/>
      <c r="E55" s="14" t="n"/>
      <c r="F55" s="14" t="n"/>
      <c r="G55" s="14" t="n"/>
      <c r="H55" s="14" t="n"/>
      <c r="I55" s="14" t="n"/>
      <c r="J55" s="15" t="n"/>
      <c r="K55" s="15" t="n"/>
      <c r="L55" s="14" t="n"/>
      <c r="M55" s="14" t="n"/>
      <c r="N55" s="14" t="n"/>
      <c r="O55" s="14" t="n"/>
      <c r="P55" s="14" t="n"/>
      <c r="Q55" s="13" t="n"/>
      <c r="R55" s="16">
        <f>IF(C55="","",ROUND((C55+SUM(D55:I55))-(C55+SUM(D55:I55))/$F$2*N(J55)+C55/$F$3*$H$3*N(K55)+N(L55),2))</f>
        <v/>
      </c>
      <c r="S55" s="16">
        <f>IF(C55="","",ROUND((C55+SUMPRODUCT(D55:I55,--(D$7:I$7="Yes")))*(1-N(J55)/$F$2),2))</f>
        <v/>
      </c>
      <c r="T55" s="16">
        <f>IF(S55="","",ROUND(S55*8%,2))</f>
        <v/>
      </c>
      <c r="U55" s="16">
        <f>IF(S55="","",ROUND(S55*12%,2))</f>
        <v/>
      </c>
      <c r="V55" s="16">
        <f>IF(S55="","",ROUND(S55*3%,2))</f>
        <v/>
      </c>
      <c r="W55" s="16">
        <f>IF(R55="","",R55-T55-(N(M55)+N(N55)+N(O55)+N(P55)))</f>
        <v/>
      </c>
    </row>
    <row r="56">
      <c r="A56" s="13" t="n"/>
      <c r="B56" s="13" t="n"/>
      <c r="C56" s="14" t="n"/>
      <c r="D56" s="14" t="n"/>
      <c r="E56" s="14" t="n"/>
      <c r="F56" s="14" t="n"/>
      <c r="G56" s="14" t="n"/>
      <c r="H56" s="14" t="n"/>
      <c r="I56" s="14" t="n"/>
      <c r="J56" s="15" t="n"/>
      <c r="K56" s="15" t="n"/>
      <c r="L56" s="14" t="n"/>
      <c r="M56" s="14" t="n"/>
      <c r="N56" s="14" t="n"/>
      <c r="O56" s="14" t="n"/>
      <c r="P56" s="14" t="n"/>
      <c r="Q56" s="13" t="n"/>
      <c r="R56" s="16">
        <f>IF(C56="","",ROUND((C56+SUM(D56:I56))-(C56+SUM(D56:I56))/$F$2*N(J56)+C56/$F$3*$H$3*N(K56)+N(L56),2))</f>
        <v/>
      </c>
      <c r="S56" s="16">
        <f>IF(C56="","",ROUND((C56+SUMPRODUCT(D56:I56,--(D$7:I$7="Yes")))*(1-N(J56)/$F$2),2))</f>
        <v/>
      </c>
      <c r="T56" s="16">
        <f>IF(S56="","",ROUND(S56*8%,2))</f>
        <v/>
      </c>
      <c r="U56" s="16">
        <f>IF(S56="","",ROUND(S56*12%,2))</f>
        <v/>
      </c>
      <c r="V56" s="16">
        <f>IF(S56="","",ROUND(S56*3%,2))</f>
        <v/>
      </c>
      <c r="W56" s="16">
        <f>IF(R56="","",R56-T56-(N(M56)+N(N56)+N(O56)+N(P56)))</f>
        <v/>
      </c>
    </row>
    <row r="57">
      <c r="A57" s="13" t="n"/>
      <c r="B57" s="13" t="n"/>
      <c r="C57" s="14" t="n"/>
      <c r="D57" s="14" t="n"/>
      <c r="E57" s="14" t="n"/>
      <c r="F57" s="14" t="n"/>
      <c r="G57" s="14" t="n"/>
      <c r="H57" s="14" t="n"/>
      <c r="I57" s="14" t="n"/>
      <c r="J57" s="15" t="n"/>
      <c r="K57" s="15" t="n"/>
      <c r="L57" s="14" t="n"/>
      <c r="M57" s="14" t="n"/>
      <c r="N57" s="14" t="n"/>
      <c r="O57" s="14" t="n"/>
      <c r="P57" s="14" t="n"/>
      <c r="Q57" s="13" t="n"/>
      <c r="R57" s="16">
        <f>IF(C57="","",ROUND((C57+SUM(D57:I57))-(C57+SUM(D57:I57))/$F$2*N(J57)+C57/$F$3*$H$3*N(K57)+N(L57),2))</f>
        <v/>
      </c>
      <c r="S57" s="16">
        <f>IF(C57="","",ROUND((C57+SUMPRODUCT(D57:I57,--(D$7:I$7="Yes")))*(1-N(J57)/$F$2),2))</f>
        <v/>
      </c>
      <c r="T57" s="16">
        <f>IF(S57="","",ROUND(S57*8%,2))</f>
        <v/>
      </c>
      <c r="U57" s="16">
        <f>IF(S57="","",ROUND(S57*12%,2))</f>
        <v/>
      </c>
      <c r="V57" s="16">
        <f>IF(S57="","",ROUND(S57*3%,2))</f>
        <v/>
      </c>
      <c r="W57" s="16">
        <f>IF(R57="","",R57-T57-(N(M57)+N(N57)+N(O57)+N(P57)))</f>
        <v/>
      </c>
    </row>
    <row r="58">
      <c r="A58" s="13" t="n"/>
      <c r="B58" s="13" t="n"/>
      <c r="C58" s="14" t="n"/>
      <c r="D58" s="14" t="n"/>
      <c r="E58" s="14" t="n"/>
      <c r="F58" s="14" t="n"/>
      <c r="G58" s="14" t="n"/>
      <c r="H58" s="14" t="n"/>
      <c r="I58" s="14" t="n"/>
      <c r="J58" s="15" t="n"/>
      <c r="K58" s="15" t="n"/>
      <c r="L58" s="14" t="n"/>
      <c r="M58" s="14" t="n"/>
      <c r="N58" s="14" t="n"/>
      <c r="O58" s="14" t="n"/>
      <c r="P58" s="14" t="n"/>
      <c r="Q58" s="13" t="n"/>
      <c r="R58" s="16">
        <f>IF(C58="","",ROUND((C58+SUM(D58:I58))-(C58+SUM(D58:I58))/$F$2*N(J58)+C58/$F$3*$H$3*N(K58)+N(L58),2))</f>
        <v/>
      </c>
      <c r="S58" s="16">
        <f>IF(C58="","",ROUND((C58+SUMPRODUCT(D58:I58,--(D$7:I$7="Yes")))*(1-N(J58)/$F$2),2))</f>
        <v/>
      </c>
      <c r="T58" s="16">
        <f>IF(S58="","",ROUND(S58*8%,2))</f>
        <v/>
      </c>
      <c r="U58" s="16">
        <f>IF(S58="","",ROUND(S58*12%,2))</f>
        <v/>
      </c>
      <c r="V58" s="16">
        <f>IF(S58="","",ROUND(S58*3%,2))</f>
        <v/>
      </c>
      <c r="W58" s="16">
        <f>IF(R58="","",R58-T58-(N(M58)+N(N58)+N(O58)+N(P58)))</f>
        <v/>
      </c>
    </row>
    <row r="59">
      <c r="A59" s="13" t="n"/>
      <c r="B59" s="13" t="n"/>
      <c r="C59" s="14" t="n"/>
      <c r="D59" s="14" t="n"/>
      <c r="E59" s="14" t="n"/>
      <c r="F59" s="14" t="n"/>
      <c r="G59" s="14" t="n"/>
      <c r="H59" s="14" t="n"/>
      <c r="I59" s="14" t="n"/>
      <c r="J59" s="15" t="n"/>
      <c r="K59" s="15" t="n"/>
      <c r="L59" s="14" t="n"/>
      <c r="M59" s="14" t="n"/>
      <c r="N59" s="14" t="n"/>
      <c r="O59" s="14" t="n"/>
      <c r="P59" s="14" t="n"/>
      <c r="Q59" s="13" t="n"/>
      <c r="R59" s="16">
        <f>IF(C59="","",ROUND((C59+SUM(D59:I59))-(C59+SUM(D59:I59))/$F$2*N(J59)+C59/$F$3*$H$3*N(K59)+N(L59),2))</f>
        <v/>
      </c>
      <c r="S59" s="16">
        <f>IF(C59="","",ROUND((C59+SUMPRODUCT(D59:I59,--(D$7:I$7="Yes")))*(1-N(J59)/$F$2),2))</f>
        <v/>
      </c>
      <c r="T59" s="16">
        <f>IF(S59="","",ROUND(S59*8%,2))</f>
        <v/>
      </c>
      <c r="U59" s="16">
        <f>IF(S59="","",ROUND(S59*12%,2))</f>
        <v/>
      </c>
      <c r="V59" s="16">
        <f>IF(S59="","",ROUND(S59*3%,2))</f>
        <v/>
      </c>
      <c r="W59" s="16">
        <f>IF(R59="","",R59-T59-(N(M59)+N(N59)+N(O59)+N(P59)))</f>
        <v/>
      </c>
    </row>
    <row r="60">
      <c r="A60" s="13" t="n"/>
      <c r="B60" s="13" t="n"/>
      <c r="C60" s="14" t="n"/>
      <c r="D60" s="14" t="n"/>
      <c r="E60" s="14" t="n"/>
      <c r="F60" s="14" t="n"/>
      <c r="G60" s="14" t="n"/>
      <c r="H60" s="14" t="n"/>
      <c r="I60" s="14" t="n"/>
      <c r="J60" s="15" t="n"/>
      <c r="K60" s="15" t="n"/>
      <c r="L60" s="14" t="n"/>
      <c r="M60" s="14" t="n"/>
      <c r="N60" s="14" t="n"/>
      <c r="O60" s="14" t="n"/>
      <c r="P60" s="14" t="n"/>
      <c r="Q60" s="13" t="n"/>
      <c r="R60" s="16">
        <f>IF(C60="","",ROUND((C60+SUM(D60:I60))-(C60+SUM(D60:I60))/$F$2*N(J60)+C60/$F$3*$H$3*N(K60)+N(L60),2))</f>
        <v/>
      </c>
      <c r="S60" s="16">
        <f>IF(C60="","",ROUND((C60+SUMPRODUCT(D60:I60,--(D$7:I$7="Yes")))*(1-N(J60)/$F$2),2))</f>
        <v/>
      </c>
      <c r="T60" s="16">
        <f>IF(S60="","",ROUND(S60*8%,2))</f>
        <v/>
      </c>
      <c r="U60" s="16">
        <f>IF(S60="","",ROUND(S60*12%,2))</f>
        <v/>
      </c>
      <c r="V60" s="16">
        <f>IF(S60="","",ROUND(S60*3%,2))</f>
        <v/>
      </c>
      <c r="W60" s="16">
        <f>IF(R60="","",R60-T60-(N(M60)+N(N60)+N(O60)+N(P60)))</f>
        <v/>
      </c>
    </row>
    <row r="61">
      <c r="A61" s="13" t="n"/>
      <c r="B61" s="13" t="n"/>
      <c r="C61" s="14" t="n"/>
      <c r="D61" s="14" t="n"/>
      <c r="E61" s="14" t="n"/>
      <c r="F61" s="14" t="n"/>
      <c r="G61" s="14" t="n"/>
      <c r="H61" s="14" t="n"/>
      <c r="I61" s="14" t="n"/>
      <c r="J61" s="15" t="n"/>
      <c r="K61" s="15" t="n"/>
      <c r="L61" s="14" t="n"/>
      <c r="M61" s="14" t="n"/>
      <c r="N61" s="14" t="n"/>
      <c r="O61" s="14" t="n"/>
      <c r="P61" s="14" t="n"/>
      <c r="Q61" s="13" t="n"/>
      <c r="R61" s="16">
        <f>IF(C61="","",ROUND((C61+SUM(D61:I61))-(C61+SUM(D61:I61))/$F$2*N(J61)+C61/$F$3*$H$3*N(K61)+N(L61),2))</f>
        <v/>
      </c>
      <c r="S61" s="16">
        <f>IF(C61="","",ROUND((C61+SUMPRODUCT(D61:I61,--(D$7:I$7="Yes")))*(1-N(J61)/$F$2),2))</f>
        <v/>
      </c>
      <c r="T61" s="16">
        <f>IF(S61="","",ROUND(S61*8%,2))</f>
        <v/>
      </c>
      <c r="U61" s="16">
        <f>IF(S61="","",ROUND(S61*12%,2))</f>
        <v/>
      </c>
      <c r="V61" s="16">
        <f>IF(S61="","",ROUND(S61*3%,2))</f>
        <v/>
      </c>
      <c r="W61" s="16">
        <f>IF(R61="","",R61-T61-(N(M61)+N(N61)+N(O61)+N(P61)))</f>
        <v/>
      </c>
    </row>
    <row r="62">
      <c r="A62" s="13" t="n"/>
      <c r="B62" s="13" t="n"/>
      <c r="C62" s="14" t="n"/>
      <c r="D62" s="14" t="n"/>
      <c r="E62" s="14" t="n"/>
      <c r="F62" s="14" t="n"/>
      <c r="G62" s="14" t="n"/>
      <c r="H62" s="14" t="n"/>
      <c r="I62" s="14" t="n"/>
      <c r="J62" s="15" t="n"/>
      <c r="K62" s="15" t="n"/>
      <c r="L62" s="14" t="n"/>
      <c r="M62" s="14" t="n"/>
      <c r="N62" s="14" t="n"/>
      <c r="O62" s="14" t="n"/>
      <c r="P62" s="14" t="n"/>
      <c r="Q62" s="13" t="n"/>
      <c r="R62" s="16">
        <f>IF(C62="","",ROUND((C62+SUM(D62:I62))-(C62+SUM(D62:I62))/$F$2*N(J62)+C62/$F$3*$H$3*N(K62)+N(L62),2))</f>
        <v/>
      </c>
      <c r="S62" s="16">
        <f>IF(C62="","",ROUND((C62+SUMPRODUCT(D62:I62,--(D$7:I$7="Yes")))*(1-N(J62)/$F$2),2))</f>
        <v/>
      </c>
      <c r="T62" s="16">
        <f>IF(S62="","",ROUND(S62*8%,2))</f>
        <v/>
      </c>
      <c r="U62" s="16">
        <f>IF(S62="","",ROUND(S62*12%,2))</f>
        <v/>
      </c>
      <c r="V62" s="16">
        <f>IF(S62="","",ROUND(S62*3%,2))</f>
        <v/>
      </c>
      <c r="W62" s="16">
        <f>IF(R62="","",R62-T62-(N(M62)+N(N62)+N(O62)+N(P62)))</f>
        <v/>
      </c>
    </row>
    <row r="63">
      <c r="A63" s="13" t="n"/>
      <c r="B63" s="13" t="n"/>
      <c r="C63" s="14" t="n"/>
      <c r="D63" s="14" t="n"/>
      <c r="E63" s="14" t="n"/>
      <c r="F63" s="14" t="n"/>
      <c r="G63" s="14" t="n"/>
      <c r="H63" s="14" t="n"/>
      <c r="I63" s="14" t="n"/>
      <c r="J63" s="15" t="n"/>
      <c r="K63" s="15" t="n"/>
      <c r="L63" s="14" t="n"/>
      <c r="M63" s="14" t="n"/>
      <c r="N63" s="14" t="n"/>
      <c r="O63" s="14" t="n"/>
      <c r="P63" s="14" t="n"/>
      <c r="Q63" s="13" t="n"/>
      <c r="R63" s="16">
        <f>IF(C63="","",ROUND((C63+SUM(D63:I63))-(C63+SUM(D63:I63))/$F$2*N(J63)+C63/$F$3*$H$3*N(K63)+N(L63),2))</f>
        <v/>
      </c>
      <c r="S63" s="16">
        <f>IF(C63="","",ROUND((C63+SUMPRODUCT(D63:I63,--(D$7:I$7="Yes")))*(1-N(J63)/$F$2),2))</f>
        <v/>
      </c>
      <c r="T63" s="16">
        <f>IF(S63="","",ROUND(S63*8%,2))</f>
        <v/>
      </c>
      <c r="U63" s="16">
        <f>IF(S63="","",ROUND(S63*12%,2))</f>
        <v/>
      </c>
      <c r="V63" s="16">
        <f>IF(S63="","",ROUND(S63*3%,2))</f>
        <v/>
      </c>
      <c r="W63" s="16">
        <f>IF(R63="","",R63-T63-(N(M63)+N(N63)+N(O63)+N(P63)))</f>
        <v/>
      </c>
    </row>
    <row r="64">
      <c r="A64" s="13" t="n"/>
      <c r="B64" s="13" t="n"/>
      <c r="C64" s="14" t="n"/>
      <c r="D64" s="14" t="n"/>
      <c r="E64" s="14" t="n"/>
      <c r="F64" s="14" t="n"/>
      <c r="G64" s="14" t="n"/>
      <c r="H64" s="14" t="n"/>
      <c r="I64" s="14" t="n"/>
      <c r="J64" s="15" t="n"/>
      <c r="K64" s="15" t="n"/>
      <c r="L64" s="14" t="n"/>
      <c r="M64" s="14" t="n"/>
      <c r="N64" s="14" t="n"/>
      <c r="O64" s="14" t="n"/>
      <c r="P64" s="14" t="n"/>
      <c r="Q64" s="13" t="n"/>
      <c r="R64" s="16">
        <f>IF(C64="","",ROUND((C64+SUM(D64:I64))-(C64+SUM(D64:I64))/$F$2*N(J64)+C64/$F$3*$H$3*N(K64)+N(L64),2))</f>
        <v/>
      </c>
      <c r="S64" s="16">
        <f>IF(C64="","",ROUND((C64+SUMPRODUCT(D64:I64,--(D$7:I$7="Yes")))*(1-N(J64)/$F$2),2))</f>
        <v/>
      </c>
      <c r="T64" s="16">
        <f>IF(S64="","",ROUND(S64*8%,2))</f>
        <v/>
      </c>
      <c r="U64" s="16">
        <f>IF(S64="","",ROUND(S64*12%,2))</f>
        <v/>
      </c>
      <c r="V64" s="16">
        <f>IF(S64="","",ROUND(S64*3%,2))</f>
        <v/>
      </c>
      <c r="W64" s="16">
        <f>IF(R64="","",R64-T64-(N(M64)+N(N64)+N(O64)+N(P64)))</f>
        <v/>
      </c>
    </row>
    <row r="65">
      <c r="A65" s="13" t="n"/>
      <c r="B65" s="13" t="n"/>
      <c r="C65" s="14" t="n"/>
      <c r="D65" s="14" t="n"/>
      <c r="E65" s="14" t="n"/>
      <c r="F65" s="14" t="n"/>
      <c r="G65" s="14" t="n"/>
      <c r="H65" s="14" t="n"/>
      <c r="I65" s="14" t="n"/>
      <c r="J65" s="15" t="n"/>
      <c r="K65" s="15" t="n"/>
      <c r="L65" s="14" t="n"/>
      <c r="M65" s="14" t="n"/>
      <c r="N65" s="14" t="n"/>
      <c r="O65" s="14" t="n"/>
      <c r="P65" s="14" t="n"/>
      <c r="Q65" s="13" t="n"/>
      <c r="R65" s="16">
        <f>IF(C65="","",ROUND((C65+SUM(D65:I65))-(C65+SUM(D65:I65))/$F$2*N(J65)+C65/$F$3*$H$3*N(K65)+N(L65),2))</f>
        <v/>
      </c>
      <c r="S65" s="16">
        <f>IF(C65="","",ROUND((C65+SUMPRODUCT(D65:I65,--(D$7:I$7="Yes")))*(1-N(J65)/$F$2),2))</f>
        <v/>
      </c>
      <c r="T65" s="16">
        <f>IF(S65="","",ROUND(S65*8%,2))</f>
        <v/>
      </c>
      <c r="U65" s="16">
        <f>IF(S65="","",ROUND(S65*12%,2))</f>
        <v/>
      </c>
      <c r="V65" s="16">
        <f>IF(S65="","",ROUND(S65*3%,2))</f>
        <v/>
      </c>
      <c r="W65" s="16">
        <f>IF(R65="","",R65-T65-(N(M65)+N(N65)+N(O65)+N(P65)))</f>
        <v/>
      </c>
    </row>
    <row r="66">
      <c r="A66" s="13" t="n"/>
      <c r="B66" s="13" t="n"/>
      <c r="C66" s="14" t="n"/>
      <c r="D66" s="14" t="n"/>
      <c r="E66" s="14" t="n"/>
      <c r="F66" s="14" t="n"/>
      <c r="G66" s="14" t="n"/>
      <c r="H66" s="14" t="n"/>
      <c r="I66" s="14" t="n"/>
      <c r="J66" s="15" t="n"/>
      <c r="K66" s="15" t="n"/>
      <c r="L66" s="14" t="n"/>
      <c r="M66" s="14" t="n"/>
      <c r="N66" s="14" t="n"/>
      <c r="O66" s="14" t="n"/>
      <c r="P66" s="14" t="n"/>
      <c r="Q66" s="13" t="n"/>
      <c r="R66" s="16">
        <f>IF(C66="","",ROUND((C66+SUM(D66:I66))-(C66+SUM(D66:I66))/$F$2*N(J66)+C66/$F$3*$H$3*N(K66)+N(L66),2))</f>
        <v/>
      </c>
      <c r="S66" s="16">
        <f>IF(C66="","",ROUND((C66+SUMPRODUCT(D66:I66,--(D$7:I$7="Yes")))*(1-N(J66)/$F$2),2))</f>
        <v/>
      </c>
      <c r="T66" s="16">
        <f>IF(S66="","",ROUND(S66*8%,2))</f>
        <v/>
      </c>
      <c r="U66" s="16">
        <f>IF(S66="","",ROUND(S66*12%,2))</f>
        <v/>
      </c>
      <c r="V66" s="16">
        <f>IF(S66="","",ROUND(S66*3%,2))</f>
        <v/>
      </c>
      <c r="W66" s="16">
        <f>IF(R66="","",R66-T66-(N(M66)+N(N66)+N(O66)+N(P66)))</f>
        <v/>
      </c>
    </row>
    <row r="67">
      <c r="A67" s="13" t="n"/>
      <c r="B67" s="13" t="n"/>
      <c r="C67" s="14" t="n"/>
      <c r="D67" s="14" t="n"/>
      <c r="E67" s="14" t="n"/>
      <c r="F67" s="14" t="n"/>
      <c r="G67" s="14" t="n"/>
      <c r="H67" s="14" t="n"/>
      <c r="I67" s="14" t="n"/>
      <c r="J67" s="15" t="n"/>
      <c r="K67" s="15" t="n"/>
      <c r="L67" s="14" t="n"/>
      <c r="M67" s="14" t="n"/>
      <c r="N67" s="14" t="n"/>
      <c r="O67" s="14" t="n"/>
      <c r="P67" s="14" t="n"/>
      <c r="Q67" s="13" t="n"/>
      <c r="R67" s="16">
        <f>IF(C67="","",ROUND((C67+SUM(D67:I67))-(C67+SUM(D67:I67))/$F$2*N(J67)+C67/$F$3*$H$3*N(K67)+N(L67),2))</f>
        <v/>
      </c>
      <c r="S67" s="16">
        <f>IF(C67="","",ROUND((C67+SUMPRODUCT(D67:I67,--(D$7:I$7="Yes")))*(1-N(J67)/$F$2),2))</f>
        <v/>
      </c>
      <c r="T67" s="16">
        <f>IF(S67="","",ROUND(S67*8%,2))</f>
        <v/>
      </c>
      <c r="U67" s="16">
        <f>IF(S67="","",ROUND(S67*12%,2))</f>
        <v/>
      </c>
      <c r="V67" s="16">
        <f>IF(S67="","",ROUND(S67*3%,2))</f>
        <v/>
      </c>
      <c r="W67" s="16">
        <f>IF(R67="","",R67-T67-(N(M67)+N(N67)+N(O67)+N(P67)))</f>
        <v/>
      </c>
    </row>
    <row r="68">
      <c r="A68" s="13" t="n"/>
      <c r="B68" s="13" t="n"/>
      <c r="C68" s="14" t="n"/>
      <c r="D68" s="14" t="n"/>
      <c r="E68" s="14" t="n"/>
      <c r="F68" s="14" t="n"/>
      <c r="G68" s="14" t="n"/>
      <c r="H68" s="14" t="n"/>
      <c r="I68" s="14" t="n"/>
      <c r="J68" s="15" t="n"/>
      <c r="K68" s="15" t="n"/>
      <c r="L68" s="14" t="n"/>
      <c r="M68" s="14" t="n"/>
      <c r="N68" s="14" t="n"/>
      <c r="O68" s="14" t="n"/>
      <c r="P68" s="14" t="n"/>
      <c r="Q68" s="13" t="n"/>
      <c r="R68" s="16">
        <f>IF(C68="","",ROUND((C68+SUM(D68:I68))-(C68+SUM(D68:I68))/$F$2*N(J68)+C68/$F$3*$H$3*N(K68)+N(L68),2))</f>
        <v/>
      </c>
      <c r="S68" s="16">
        <f>IF(C68="","",ROUND((C68+SUMPRODUCT(D68:I68,--(D$7:I$7="Yes")))*(1-N(J68)/$F$2),2))</f>
        <v/>
      </c>
      <c r="T68" s="16">
        <f>IF(S68="","",ROUND(S68*8%,2))</f>
        <v/>
      </c>
      <c r="U68" s="16">
        <f>IF(S68="","",ROUND(S68*12%,2))</f>
        <v/>
      </c>
      <c r="V68" s="16">
        <f>IF(S68="","",ROUND(S68*3%,2))</f>
        <v/>
      </c>
      <c r="W68" s="16">
        <f>IF(R68="","",R68-T68-(N(M68)+N(N68)+N(O68)+N(P68)))</f>
        <v/>
      </c>
    </row>
    <row r="69">
      <c r="A69" s="13" t="n"/>
      <c r="B69" s="13" t="n"/>
      <c r="C69" s="14" t="n"/>
      <c r="D69" s="14" t="n"/>
      <c r="E69" s="14" t="n"/>
      <c r="F69" s="14" t="n"/>
      <c r="G69" s="14" t="n"/>
      <c r="H69" s="14" t="n"/>
      <c r="I69" s="14" t="n"/>
      <c r="J69" s="15" t="n"/>
      <c r="K69" s="15" t="n"/>
      <c r="L69" s="14" t="n"/>
      <c r="M69" s="14" t="n"/>
      <c r="N69" s="14" t="n"/>
      <c r="O69" s="14" t="n"/>
      <c r="P69" s="14" t="n"/>
      <c r="Q69" s="13" t="n"/>
      <c r="R69" s="16">
        <f>IF(C69="","",ROUND((C69+SUM(D69:I69))-(C69+SUM(D69:I69))/$F$2*N(J69)+C69/$F$3*$H$3*N(K69)+N(L69),2))</f>
        <v/>
      </c>
      <c r="S69" s="16">
        <f>IF(C69="","",ROUND((C69+SUMPRODUCT(D69:I69,--(D$7:I$7="Yes")))*(1-N(J69)/$F$2),2))</f>
        <v/>
      </c>
      <c r="T69" s="16">
        <f>IF(S69="","",ROUND(S69*8%,2))</f>
        <v/>
      </c>
      <c r="U69" s="16">
        <f>IF(S69="","",ROUND(S69*12%,2))</f>
        <v/>
      </c>
      <c r="V69" s="16">
        <f>IF(S69="","",ROUND(S69*3%,2))</f>
        <v/>
      </c>
      <c r="W69" s="16">
        <f>IF(R69="","",R69-T69-(N(M69)+N(N69)+N(O69)+N(P69)))</f>
        <v/>
      </c>
    </row>
    <row r="70">
      <c r="A70" s="13" t="n"/>
      <c r="B70" s="13" t="n"/>
      <c r="C70" s="14" t="n"/>
      <c r="D70" s="14" t="n"/>
      <c r="E70" s="14" t="n"/>
      <c r="F70" s="14" t="n"/>
      <c r="G70" s="14" t="n"/>
      <c r="H70" s="14" t="n"/>
      <c r="I70" s="14" t="n"/>
      <c r="J70" s="15" t="n"/>
      <c r="K70" s="15" t="n"/>
      <c r="L70" s="14" t="n"/>
      <c r="M70" s="14" t="n"/>
      <c r="N70" s="14" t="n"/>
      <c r="O70" s="14" t="n"/>
      <c r="P70" s="14" t="n"/>
      <c r="Q70" s="13" t="n"/>
      <c r="R70" s="16">
        <f>IF(C70="","",ROUND((C70+SUM(D70:I70))-(C70+SUM(D70:I70))/$F$2*N(J70)+C70/$F$3*$H$3*N(K70)+N(L70),2))</f>
        <v/>
      </c>
      <c r="S70" s="16">
        <f>IF(C70="","",ROUND((C70+SUMPRODUCT(D70:I70,--(D$7:I$7="Yes")))*(1-N(J70)/$F$2),2))</f>
        <v/>
      </c>
      <c r="T70" s="16">
        <f>IF(S70="","",ROUND(S70*8%,2))</f>
        <v/>
      </c>
      <c r="U70" s="16">
        <f>IF(S70="","",ROUND(S70*12%,2))</f>
        <v/>
      </c>
      <c r="V70" s="16">
        <f>IF(S70="","",ROUND(S70*3%,2))</f>
        <v/>
      </c>
      <c r="W70" s="16">
        <f>IF(R70="","",R70-T70-(N(M70)+N(N70)+N(O70)+N(P70)))</f>
        <v/>
      </c>
    </row>
    <row r="71">
      <c r="A71" s="13" t="n"/>
      <c r="B71" s="13" t="n"/>
      <c r="C71" s="14" t="n"/>
      <c r="D71" s="14" t="n"/>
      <c r="E71" s="14" t="n"/>
      <c r="F71" s="14" t="n"/>
      <c r="G71" s="14" t="n"/>
      <c r="H71" s="14" t="n"/>
      <c r="I71" s="14" t="n"/>
      <c r="J71" s="15" t="n"/>
      <c r="K71" s="15" t="n"/>
      <c r="L71" s="14" t="n"/>
      <c r="M71" s="14" t="n"/>
      <c r="N71" s="14" t="n"/>
      <c r="O71" s="14" t="n"/>
      <c r="P71" s="14" t="n"/>
      <c r="Q71" s="13" t="n"/>
      <c r="R71" s="16">
        <f>IF(C71="","",ROUND((C71+SUM(D71:I71))-(C71+SUM(D71:I71))/$F$2*N(J71)+C71/$F$3*$H$3*N(K71)+N(L71),2))</f>
        <v/>
      </c>
      <c r="S71" s="16">
        <f>IF(C71="","",ROUND((C71+SUMPRODUCT(D71:I71,--(D$7:I$7="Yes")))*(1-N(J71)/$F$2),2))</f>
        <v/>
      </c>
      <c r="T71" s="16">
        <f>IF(S71="","",ROUND(S71*8%,2))</f>
        <v/>
      </c>
      <c r="U71" s="16">
        <f>IF(S71="","",ROUND(S71*12%,2))</f>
        <v/>
      </c>
      <c r="V71" s="16">
        <f>IF(S71="","",ROUND(S71*3%,2))</f>
        <v/>
      </c>
      <c r="W71" s="16">
        <f>IF(R71="","",R71-T71-(N(M71)+N(N71)+N(O71)+N(P71)))</f>
        <v/>
      </c>
    </row>
    <row r="72">
      <c r="A72" s="13" t="n"/>
      <c r="B72" s="13" t="n"/>
      <c r="C72" s="14" t="n"/>
      <c r="D72" s="14" t="n"/>
      <c r="E72" s="14" t="n"/>
      <c r="F72" s="14" t="n"/>
      <c r="G72" s="14" t="n"/>
      <c r="H72" s="14" t="n"/>
      <c r="I72" s="14" t="n"/>
      <c r="J72" s="15" t="n"/>
      <c r="K72" s="15" t="n"/>
      <c r="L72" s="14" t="n"/>
      <c r="M72" s="14" t="n"/>
      <c r="N72" s="14" t="n"/>
      <c r="O72" s="14" t="n"/>
      <c r="P72" s="14" t="n"/>
      <c r="Q72" s="13" t="n"/>
      <c r="R72" s="16">
        <f>IF(C72="","",ROUND((C72+SUM(D72:I72))-(C72+SUM(D72:I72))/$F$2*N(J72)+C72/$F$3*$H$3*N(K72)+N(L72),2))</f>
        <v/>
      </c>
      <c r="S72" s="16">
        <f>IF(C72="","",ROUND((C72+SUMPRODUCT(D72:I72,--(D$7:I$7="Yes")))*(1-N(J72)/$F$2),2))</f>
        <v/>
      </c>
      <c r="T72" s="16">
        <f>IF(S72="","",ROUND(S72*8%,2))</f>
        <v/>
      </c>
      <c r="U72" s="16">
        <f>IF(S72="","",ROUND(S72*12%,2))</f>
        <v/>
      </c>
      <c r="V72" s="16">
        <f>IF(S72="","",ROUND(S72*3%,2))</f>
        <v/>
      </c>
      <c r="W72" s="16">
        <f>IF(R72="","",R72-T72-(N(M72)+N(N72)+N(O72)+N(P72)))</f>
        <v/>
      </c>
    </row>
    <row r="73">
      <c r="A73" s="13" t="n"/>
      <c r="B73" s="13" t="n"/>
      <c r="C73" s="14" t="n"/>
      <c r="D73" s="14" t="n"/>
      <c r="E73" s="14" t="n"/>
      <c r="F73" s="14" t="n"/>
      <c r="G73" s="14" t="n"/>
      <c r="H73" s="14" t="n"/>
      <c r="I73" s="14" t="n"/>
      <c r="J73" s="15" t="n"/>
      <c r="K73" s="15" t="n"/>
      <c r="L73" s="14" t="n"/>
      <c r="M73" s="14" t="n"/>
      <c r="N73" s="14" t="n"/>
      <c r="O73" s="14" t="n"/>
      <c r="P73" s="14" t="n"/>
      <c r="Q73" s="13" t="n"/>
      <c r="R73" s="16">
        <f>IF(C73="","",ROUND((C73+SUM(D73:I73))-(C73+SUM(D73:I73))/$F$2*N(J73)+C73/$F$3*$H$3*N(K73)+N(L73),2))</f>
        <v/>
      </c>
      <c r="S73" s="16">
        <f>IF(C73="","",ROUND((C73+SUMPRODUCT(D73:I73,--(D$7:I$7="Yes")))*(1-N(J73)/$F$2),2))</f>
        <v/>
      </c>
      <c r="T73" s="16">
        <f>IF(S73="","",ROUND(S73*8%,2))</f>
        <v/>
      </c>
      <c r="U73" s="16">
        <f>IF(S73="","",ROUND(S73*12%,2))</f>
        <v/>
      </c>
      <c r="V73" s="16">
        <f>IF(S73="","",ROUND(S73*3%,2))</f>
        <v/>
      </c>
      <c r="W73" s="16">
        <f>IF(R73="","",R73-T73-(N(M73)+N(N73)+N(O73)+N(P73)))</f>
        <v/>
      </c>
    </row>
    <row r="74">
      <c r="A74" s="13" t="n"/>
      <c r="B74" s="13" t="n"/>
      <c r="C74" s="14" t="n"/>
      <c r="D74" s="14" t="n"/>
      <c r="E74" s="14" t="n"/>
      <c r="F74" s="14" t="n"/>
      <c r="G74" s="14" t="n"/>
      <c r="H74" s="14" t="n"/>
      <c r="I74" s="14" t="n"/>
      <c r="J74" s="15" t="n"/>
      <c r="K74" s="15" t="n"/>
      <c r="L74" s="14" t="n"/>
      <c r="M74" s="14" t="n"/>
      <c r="N74" s="14" t="n"/>
      <c r="O74" s="14" t="n"/>
      <c r="P74" s="14" t="n"/>
      <c r="Q74" s="13" t="n"/>
      <c r="R74" s="16">
        <f>IF(C74="","",ROUND((C74+SUM(D74:I74))-(C74+SUM(D74:I74))/$F$2*N(J74)+C74/$F$3*$H$3*N(K74)+N(L74),2))</f>
        <v/>
      </c>
      <c r="S74" s="16">
        <f>IF(C74="","",ROUND((C74+SUMPRODUCT(D74:I74,--(D$7:I$7="Yes")))*(1-N(J74)/$F$2),2))</f>
        <v/>
      </c>
      <c r="T74" s="16">
        <f>IF(S74="","",ROUND(S74*8%,2))</f>
        <v/>
      </c>
      <c r="U74" s="16">
        <f>IF(S74="","",ROUND(S74*12%,2))</f>
        <v/>
      </c>
      <c r="V74" s="16">
        <f>IF(S74="","",ROUND(S74*3%,2))</f>
        <v/>
      </c>
      <c r="W74" s="16">
        <f>IF(R74="","",R74-T74-(N(M74)+N(N74)+N(O74)+N(P74)))</f>
        <v/>
      </c>
    </row>
    <row r="75">
      <c r="A75" s="13" t="n"/>
      <c r="B75" s="13" t="n"/>
      <c r="C75" s="14" t="n"/>
      <c r="D75" s="14" t="n"/>
      <c r="E75" s="14" t="n"/>
      <c r="F75" s="14" t="n"/>
      <c r="G75" s="14" t="n"/>
      <c r="H75" s="14" t="n"/>
      <c r="I75" s="14" t="n"/>
      <c r="J75" s="15" t="n"/>
      <c r="K75" s="15" t="n"/>
      <c r="L75" s="14" t="n"/>
      <c r="M75" s="14" t="n"/>
      <c r="N75" s="14" t="n"/>
      <c r="O75" s="14" t="n"/>
      <c r="P75" s="14" t="n"/>
      <c r="Q75" s="13" t="n"/>
      <c r="R75" s="16">
        <f>IF(C75="","",ROUND((C75+SUM(D75:I75))-(C75+SUM(D75:I75))/$F$2*N(J75)+C75/$F$3*$H$3*N(K75)+N(L75),2))</f>
        <v/>
      </c>
      <c r="S75" s="16">
        <f>IF(C75="","",ROUND((C75+SUMPRODUCT(D75:I75,--(D$7:I$7="Yes")))*(1-N(J75)/$F$2),2))</f>
        <v/>
      </c>
      <c r="T75" s="16">
        <f>IF(S75="","",ROUND(S75*8%,2))</f>
        <v/>
      </c>
      <c r="U75" s="16">
        <f>IF(S75="","",ROUND(S75*12%,2))</f>
        <v/>
      </c>
      <c r="V75" s="16">
        <f>IF(S75="","",ROUND(S75*3%,2))</f>
        <v/>
      </c>
      <c r="W75" s="16">
        <f>IF(R75="","",R75-T75-(N(M75)+N(N75)+N(O75)+N(P75)))</f>
        <v/>
      </c>
    </row>
    <row r="76">
      <c r="A76" s="13" t="n"/>
      <c r="B76" s="13" t="n"/>
      <c r="C76" s="14" t="n"/>
      <c r="D76" s="14" t="n"/>
      <c r="E76" s="14" t="n"/>
      <c r="F76" s="14" t="n"/>
      <c r="G76" s="14" t="n"/>
      <c r="H76" s="14" t="n"/>
      <c r="I76" s="14" t="n"/>
      <c r="J76" s="15" t="n"/>
      <c r="K76" s="15" t="n"/>
      <c r="L76" s="14" t="n"/>
      <c r="M76" s="14" t="n"/>
      <c r="N76" s="14" t="n"/>
      <c r="O76" s="14" t="n"/>
      <c r="P76" s="14" t="n"/>
      <c r="Q76" s="13" t="n"/>
      <c r="R76" s="16">
        <f>IF(C76="","",ROUND((C76+SUM(D76:I76))-(C76+SUM(D76:I76))/$F$2*N(J76)+C76/$F$3*$H$3*N(K76)+N(L76),2))</f>
        <v/>
      </c>
      <c r="S76" s="16">
        <f>IF(C76="","",ROUND((C76+SUMPRODUCT(D76:I76,--(D$7:I$7="Yes")))*(1-N(J76)/$F$2),2))</f>
        <v/>
      </c>
      <c r="T76" s="16">
        <f>IF(S76="","",ROUND(S76*8%,2))</f>
        <v/>
      </c>
      <c r="U76" s="16">
        <f>IF(S76="","",ROUND(S76*12%,2))</f>
        <v/>
      </c>
      <c r="V76" s="16">
        <f>IF(S76="","",ROUND(S76*3%,2))</f>
        <v/>
      </c>
      <c r="W76" s="16">
        <f>IF(R76="","",R76-T76-(N(M76)+N(N76)+N(O76)+N(P76)))</f>
        <v/>
      </c>
    </row>
    <row r="77">
      <c r="A77" s="13" t="n"/>
      <c r="B77" s="13" t="n"/>
      <c r="C77" s="14" t="n"/>
      <c r="D77" s="14" t="n"/>
      <c r="E77" s="14" t="n"/>
      <c r="F77" s="14" t="n"/>
      <c r="G77" s="14" t="n"/>
      <c r="H77" s="14" t="n"/>
      <c r="I77" s="14" t="n"/>
      <c r="J77" s="15" t="n"/>
      <c r="K77" s="15" t="n"/>
      <c r="L77" s="14" t="n"/>
      <c r="M77" s="14" t="n"/>
      <c r="N77" s="14" t="n"/>
      <c r="O77" s="14" t="n"/>
      <c r="P77" s="14" t="n"/>
      <c r="Q77" s="13" t="n"/>
      <c r="R77" s="16">
        <f>IF(C77="","",ROUND((C77+SUM(D77:I77))-(C77+SUM(D77:I77))/$F$2*N(J77)+C77/$F$3*$H$3*N(K77)+N(L77),2))</f>
        <v/>
      </c>
      <c r="S77" s="16">
        <f>IF(C77="","",ROUND((C77+SUMPRODUCT(D77:I77,--(D$7:I$7="Yes")))*(1-N(J77)/$F$2),2))</f>
        <v/>
      </c>
      <c r="T77" s="16">
        <f>IF(S77="","",ROUND(S77*8%,2))</f>
        <v/>
      </c>
      <c r="U77" s="16">
        <f>IF(S77="","",ROUND(S77*12%,2))</f>
        <v/>
      </c>
      <c r="V77" s="16">
        <f>IF(S77="","",ROUND(S77*3%,2))</f>
        <v/>
      </c>
      <c r="W77" s="16">
        <f>IF(R77="","",R77-T77-(N(M77)+N(N77)+N(O77)+N(P77)))</f>
        <v/>
      </c>
    </row>
    <row r="78">
      <c r="A78" s="13" t="n"/>
      <c r="B78" s="13" t="n"/>
      <c r="C78" s="14" t="n"/>
      <c r="D78" s="14" t="n"/>
      <c r="E78" s="14" t="n"/>
      <c r="F78" s="14" t="n"/>
      <c r="G78" s="14" t="n"/>
      <c r="H78" s="14" t="n"/>
      <c r="I78" s="14" t="n"/>
      <c r="J78" s="15" t="n"/>
      <c r="K78" s="15" t="n"/>
      <c r="L78" s="14" t="n"/>
      <c r="M78" s="14" t="n"/>
      <c r="N78" s="14" t="n"/>
      <c r="O78" s="14" t="n"/>
      <c r="P78" s="14" t="n"/>
      <c r="Q78" s="13" t="n"/>
      <c r="R78" s="16">
        <f>IF(C78="","",ROUND((C78+SUM(D78:I78))-(C78+SUM(D78:I78))/$F$2*N(J78)+C78/$F$3*$H$3*N(K78)+N(L78),2))</f>
        <v/>
      </c>
      <c r="S78" s="16">
        <f>IF(C78="","",ROUND((C78+SUMPRODUCT(D78:I78,--(D$7:I$7="Yes")))*(1-N(J78)/$F$2),2))</f>
        <v/>
      </c>
      <c r="T78" s="16">
        <f>IF(S78="","",ROUND(S78*8%,2))</f>
        <v/>
      </c>
      <c r="U78" s="16">
        <f>IF(S78="","",ROUND(S78*12%,2))</f>
        <v/>
      </c>
      <c r="V78" s="16">
        <f>IF(S78="","",ROUND(S78*3%,2))</f>
        <v/>
      </c>
      <c r="W78" s="16">
        <f>IF(R78="","",R78-T78-(N(M78)+N(N78)+N(O78)+N(P78)))</f>
        <v/>
      </c>
    </row>
    <row r="79">
      <c r="A79" s="13" t="n"/>
      <c r="B79" s="13" t="n"/>
      <c r="C79" s="14" t="n"/>
      <c r="D79" s="14" t="n"/>
      <c r="E79" s="14" t="n"/>
      <c r="F79" s="14" t="n"/>
      <c r="G79" s="14" t="n"/>
      <c r="H79" s="14" t="n"/>
      <c r="I79" s="14" t="n"/>
      <c r="J79" s="15" t="n"/>
      <c r="K79" s="15" t="n"/>
      <c r="L79" s="14" t="n"/>
      <c r="M79" s="14" t="n"/>
      <c r="N79" s="14" t="n"/>
      <c r="O79" s="14" t="n"/>
      <c r="P79" s="14" t="n"/>
      <c r="Q79" s="13" t="n"/>
      <c r="R79" s="16">
        <f>IF(C79="","",ROUND((C79+SUM(D79:I79))-(C79+SUM(D79:I79))/$F$2*N(J79)+C79/$F$3*$H$3*N(K79)+N(L79),2))</f>
        <v/>
      </c>
      <c r="S79" s="16">
        <f>IF(C79="","",ROUND((C79+SUMPRODUCT(D79:I79,--(D$7:I$7="Yes")))*(1-N(J79)/$F$2),2))</f>
        <v/>
      </c>
      <c r="T79" s="16">
        <f>IF(S79="","",ROUND(S79*8%,2))</f>
        <v/>
      </c>
      <c r="U79" s="16">
        <f>IF(S79="","",ROUND(S79*12%,2))</f>
        <v/>
      </c>
      <c r="V79" s="16">
        <f>IF(S79="","",ROUND(S79*3%,2))</f>
        <v/>
      </c>
      <c r="W79" s="16">
        <f>IF(R79="","",R79-T79-(N(M79)+N(N79)+N(O79)+N(P79)))</f>
        <v/>
      </c>
    </row>
    <row r="80">
      <c r="A80" s="13" t="n"/>
      <c r="B80" s="13" t="n"/>
      <c r="C80" s="14" t="n"/>
      <c r="D80" s="14" t="n"/>
      <c r="E80" s="14" t="n"/>
      <c r="F80" s="14" t="n"/>
      <c r="G80" s="14" t="n"/>
      <c r="H80" s="14" t="n"/>
      <c r="I80" s="14" t="n"/>
      <c r="J80" s="15" t="n"/>
      <c r="K80" s="15" t="n"/>
      <c r="L80" s="14" t="n"/>
      <c r="M80" s="14" t="n"/>
      <c r="N80" s="14" t="n"/>
      <c r="O80" s="14" t="n"/>
      <c r="P80" s="14" t="n"/>
      <c r="Q80" s="13" t="n"/>
      <c r="R80" s="16">
        <f>IF(C80="","",ROUND((C80+SUM(D80:I80))-(C80+SUM(D80:I80))/$F$2*N(J80)+C80/$F$3*$H$3*N(K80)+N(L80),2))</f>
        <v/>
      </c>
      <c r="S80" s="16">
        <f>IF(C80="","",ROUND((C80+SUMPRODUCT(D80:I80,--(D$7:I$7="Yes")))*(1-N(J80)/$F$2),2))</f>
        <v/>
      </c>
      <c r="T80" s="16">
        <f>IF(S80="","",ROUND(S80*8%,2))</f>
        <v/>
      </c>
      <c r="U80" s="16">
        <f>IF(S80="","",ROUND(S80*12%,2))</f>
        <v/>
      </c>
      <c r="V80" s="16">
        <f>IF(S80="","",ROUND(S80*3%,2))</f>
        <v/>
      </c>
      <c r="W80" s="16">
        <f>IF(R80="","",R80-T80-(N(M80)+N(N80)+N(O80)+N(P80)))</f>
        <v/>
      </c>
    </row>
    <row r="81">
      <c r="A81" s="13" t="n"/>
      <c r="B81" s="13" t="n"/>
      <c r="C81" s="14" t="n"/>
      <c r="D81" s="14" t="n"/>
      <c r="E81" s="14" t="n"/>
      <c r="F81" s="14" t="n"/>
      <c r="G81" s="14" t="n"/>
      <c r="H81" s="14" t="n"/>
      <c r="I81" s="14" t="n"/>
      <c r="J81" s="15" t="n"/>
      <c r="K81" s="15" t="n"/>
      <c r="L81" s="14" t="n"/>
      <c r="M81" s="14" t="n"/>
      <c r="N81" s="14" t="n"/>
      <c r="O81" s="14" t="n"/>
      <c r="P81" s="14" t="n"/>
      <c r="Q81" s="13" t="n"/>
      <c r="R81" s="16">
        <f>IF(C81="","",ROUND((C81+SUM(D81:I81))-(C81+SUM(D81:I81))/$F$2*N(J81)+C81/$F$3*$H$3*N(K81)+N(L81),2))</f>
        <v/>
      </c>
      <c r="S81" s="16">
        <f>IF(C81="","",ROUND((C81+SUMPRODUCT(D81:I81,--(D$7:I$7="Yes")))*(1-N(J81)/$F$2),2))</f>
        <v/>
      </c>
      <c r="T81" s="16">
        <f>IF(S81="","",ROUND(S81*8%,2))</f>
        <v/>
      </c>
      <c r="U81" s="16">
        <f>IF(S81="","",ROUND(S81*12%,2))</f>
        <v/>
      </c>
      <c r="V81" s="16">
        <f>IF(S81="","",ROUND(S81*3%,2))</f>
        <v/>
      </c>
      <c r="W81" s="16">
        <f>IF(R81="","",R81-T81-(N(M81)+N(N81)+N(O81)+N(P81)))</f>
        <v/>
      </c>
    </row>
    <row r="82">
      <c r="A82" s="13" t="n"/>
      <c r="B82" s="13" t="n"/>
      <c r="C82" s="14" t="n"/>
      <c r="D82" s="14" t="n"/>
      <c r="E82" s="14" t="n"/>
      <c r="F82" s="14" t="n"/>
      <c r="G82" s="14" t="n"/>
      <c r="H82" s="14" t="n"/>
      <c r="I82" s="14" t="n"/>
      <c r="J82" s="15" t="n"/>
      <c r="K82" s="15" t="n"/>
      <c r="L82" s="14" t="n"/>
      <c r="M82" s="14" t="n"/>
      <c r="N82" s="14" t="n"/>
      <c r="O82" s="14" t="n"/>
      <c r="P82" s="14" t="n"/>
      <c r="Q82" s="13" t="n"/>
      <c r="R82" s="16">
        <f>IF(C82="","",ROUND((C82+SUM(D82:I82))-(C82+SUM(D82:I82))/$F$2*N(J82)+C82/$F$3*$H$3*N(K82)+N(L82),2))</f>
        <v/>
      </c>
      <c r="S82" s="16">
        <f>IF(C82="","",ROUND((C82+SUMPRODUCT(D82:I82,--(D$7:I$7="Yes")))*(1-N(J82)/$F$2),2))</f>
        <v/>
      </c>
      <c r="T82" s="16">
        <f>IF(S82="","",ROUND(S82*8%,2))</f>
        <v/>
      </c>
      <c r="U82" s="16">
        <f>IF(S82="","",ROUND(S82*12%,2))</f>
        <v/>
      </c>
      <c r="V82" s="16">
        <f>IF(S82="","",ROUND(S82*3%,2))</f>
        <v/>
      </c>
      <c r="W82" s="16">
        <f>IF(R82="","",R82-T82-(N(M82)+N(N82)+N(O82)+N(P82)))</f>
        <v/>
      </c>
    </row>
    <row r="83">
      <c r="A83" s="13" t="n"/>
      <c r="B83" s="13" t="n"/>
      <c r="C83" s="14" t="n"/>
      <c r="D83" s="14" t="n"/>
      <c r="E83" s="14" t="n"/>
      <c r="F83" s="14" t="n"/>
      <c r="G83" s="14" t="n"/>
      <c r="H83" s="14" t="n"/>
      <c r="I83" s="14" t="n"/>
      <c r="J83" s="15" t="n"/>
      <c r="K83" s="15" t="n"/>
      <c r="L83" s="14" t="n"/>
      <c r="M83" s="14" t="n"/>
      <c r="N83" s="14" t="n"/>
      <c r="O83" s="14" t="n"/>
      <c r="P83" s="14" t="n"/>
      <c r="Q83" s="13" t="n"/>
      <c r="R83" s="16">
        <f>IF(C83="","",ROUND((C83+SUM(D83:I83))-(C83+SUM(D83:I83))/$F$2*N(J83)+C83/$F$3*$H$3*N(K83)+N(L83),2))</f>
        <v/>
      </c>
      <c r="S83" s="16">
        <f>IF(C83="","",ROUND((C83+SUMPRODUCT(D83:I83,--(D$7:I$7="Yes")))*(1-N(J83)/$F$2),2))</f>
        <v/>
      </c>
      <c r="T83" s="16">
        <f>IF(S83="","",ROUND(S83*8%,2))</f>
        <v/>
      </c>
      <c r="U83" s="16">
        <f>IF(S83="","",ROUND(S83*12%,2))</f>
        <v/>
      </c>
      <c r="V83" s="16">
        <f>IF(S83="","",ROUND(S83*3%,2))</f>
        <v/>
      </c>
      <c r="W83" s="16">
        <f>IF(R83="","",R83-T83-(N(M83)+N(N83)+N(O83)+N(P83)))</f>
        <v/>
      </c>
    </row>
    <row r="84">
      <c r="A84" s="13" t="n"/>
      <c r="B84" s="13" t="n"/>
      <c r="C84" s="14" t="n"/>
      <c r="D84" s="14" t="n"/>
      <c r="E84" s="14" t="n"/>
      <c r="F84" s="14" t="n"/>
      <c r="G84" s="14" t="n"/>
      <c r="H84" s="14" t="n"/>
      <c r="I84" s="14" t="n"/>
      <c r="J84" s="15" t="n"/>
      <c r="K84" s="15" t="n"/>
      <c r="L84" s="14" t="n"/>
      <c r="M84" s="14" t="n"/>
      <c r="N84" s="14" t="n"/>
      <c r="O84" s="14" t="n"/>
      <c r="P84" s="14" t="n"/>
      <c r="Q84" s="13" t="n"/>
      <c r="R84" s="16">
        <f>IF(C84="","",ROUND((C84+SUM(D84:I84))-(C84+SUM(D84:I84))/$F$2*N(J84)+C84/$F$3*$H$3*N(K84)+N(L84),2))</f>
        <v/>
      </c>
      <c r="S84" s="16">
        <f>IF(C84="","",ROUND((C84+SUMPRODUCT(D84:I84,--(D$7:I$7="Yes")))*(1-N(J84)/$F$2),2))</f>
        <v/>
      </c>
      <c r="T84" s="16">
        <f>IF(S84="","",ROUND(S84*8%,2))</f>
        <v/>
      </c>
      <c r="U84" s="16">
        <f>IF(S84="","",ROUND(S84*12%,2))</f>
        <v/>
      </c>
      <c r="V84" s="16">
        <f>IF(S84="","",ROUND(S84*3%,2))</f>
        <v/>
      </c>
      <c r="W84" s="16">
        <f>IF(R84="","",R84-T84-(N(M84)+N(N84)+N(O84)+N(P84)))</f>
        <v/>
      </c>
    </row>
    <row r="85">
      <c r="A85" s="13" t="n"/>
      <c r="B85" s="13" t="n"/>
      <c r="C85" s="14" t="n"/>
      <c r="D85" s="14" t="n"/>
      <c r="E85" s="14" t="n"/>
      <c r="F85" s="14" t="n"/>
      <c r="G85" s="14" t="n"/>
      <c r="H85" s="14" t="n"/>
      <c r="I85" s="14" t="n"/>
      <c r="J85" s="15" t="n"/>
      <c r="K85" s="15" t="n"/>
      <c r="L85" s="14" t="n"/>
      <c r="M85" s="14" t="n"/>
      <c r="N85" s="14" t="n"/>
      <c r="O85" s="14" t="n"/>
      <c r="P85" s="14" t="n"/>
      <c r="Q85" s="13" t="n"/>
      <c r="R85" s="16">
        <f>IF(C85="","",ROUND((C85+SUM(D85:I85))-(C85+SUM(D85:I85))/$F$2*N(J85)+C85/$F$3*$H$3*N(K85)+N(L85),2))</f>
        <v/>
      </c>
      <c r="S85" s="16">
        <f>IF(C85="","",ROUND((C85+SUMPRODUCT(D85:I85,--(D$7:I$7="Yes")))*(1-N(J85)/$F$2),2))</f>
        <v/>
      </c>
      <c r="T85" s="16">
        <f>IF(S85="","",ROUND(S85*8%,2))</f>
        <v/>
      </c>
      <c r="U85" s="16">
        <f>IF(S85="","",ROUND(S85*12%,2))</f>
        <v/>
      </c>
      <c r="V85" s="16">
        <f>IF(S85="","",ROUND(S85*3%,2))</f>
        <v/>
      </c>
      <c r="W85" s="16">
        <f>IF(R85="","",R85-T85-(N(M85)+N(N85)+N(O85)+N(P85)))</f>
        <v/>
      </c>
    </row>
    <row r="86">
      <c r="A86" s="13" t="n"/>
      <c r="B86" s="13" t="n"/>
      <c r="C86" s="14" t="n"/>
      <c r="D86" s="14" t="n"/>
      <c r="E86" s="14" t="n"/>
      <c r="F86" s="14" t="n"/>
      <c r="G86" s="14" t="n"/>
      <c r="H86" s="14" t="n"/>
      <c r="I86" s="14" t="n"/>
      <c r="J86" s="15" t="n"/>
      <c r="K86" s="15" t="n"/>
      <c r="L86" s="14" t="n"/>
      <c r="M86" s="14" t="n"/>
      <c r="N86" s="14" t="n"/>
      <c r="O86" s="14" t="n"/>
      <c r="P86" s="14" t="n"/>
      <c r="Q86" s="13" t="n"/>
      <c r="R86" s="16">
        <f>IF(C86="","",ROUND((C86+SUM(D86:I86))-(C86+SUM(D86:I86))/$F$2*N(J86)+C86/$F$3*$H$3*N(K86)+N(L86),2))</f>
        <v/>
      </c>
      <c r="S86" s="16">
        <f>IF(C86="","",ROUND((C86+SUMPRODUCT(D86:I86,--(D$7:I$7="Yes")))*(1-N(J86)/$F$2),2))</f>
        <v/>
      </c>
      <c r="T86" s="16">
        <f>IF(S86="","",ROUND(S86*8%,2))</f>
        <v/>
      </c>
      <c r="U86" s="16">
        <f>IF(S86="","",ROUND(S86*12%,2))</f>
        <v/>
      </c>
      <c r="V86" s="16">
        <f>IF(S86="","",ROUND(S86*3%,2))</f>
        <v/>
      </c>
      <c r="W86" s="16">
        <f>IF(R86="","",R86-T86-(N(M86)+N(N86)+N(O86)+N(P86)))</f>
        <v/>
      </c>
    </row>
    <row r="87">
      <c r="A87" s="13" t="n"/>
      <c r="B87" s="13" t="n"/>
      <c r="C87" s="14" t="n"/>
      <c r="D87" s="14" t="n"/>
      <c r="E87" s="14" t="n"/>
      <c r="F87" s="14" t="n"/>
      <c r="G87" s="14" t="n"/>
      <c r="H87" s="14" t="n"/>
      <c r="I87" s="14" t="n"/>
      <c r="J87" s="15" t="n"/>
      <c r="K87" s="15" t="n"/>
      <c r="L87" s="14" t="n"/>
      <c r="M87" s="14" t="n"/>
      <c r="N87" s="14" t="n"/>
      <c r="O87" s="14" t="n"/>
      <c r="P87" s="14" t="n"/>
      <c r="Q87" s="13" t="n"/>
      <c r="R87" s="16">
        <f>IF(C87="","",ROUND((C87+SUM(D87:I87))-(C87+SUM(D87:I87))/$F$2*N(J87)+C87/$F$3*$H$3*N(K87)+N(L87),2))</f>
        <v/>
      </c>
      <c r="S87" s="16">
        <f>IF(C87="","",ROUND((C87+SUMPRODUCT(D87:I87,--(D$7:I$7="Yes")))*(1-N(J87)/$F$2),2))</f>
        <v/>
      </c>
      <c r="T87" s="16">
        <f>IF(S87="","",ROUND(S87*8%,2))</f>
        <v/>
      </c>
      <c r="U87" s="16">
        <f>IF(S87="","",ROUND(S87*12%,2))</f>
        <v/>
      </c>
      <c r="V87" s="16">
        <f>IF(S87="","",ROUND(S87*3%,2))</f>
        <v/>
      </c>
      <c r="W87" s="16">
        <f>IF(R87="","",R87-T87-(N(M87)+N(N87)+N(O87)+N(P87)))</f>
        <v/>
      </c>
    </row>
    <row r="88">
      <c r="A88" s="13" t="n"/>
      <c r="B88" s="13" t="n"/>
      <c r="C88" s="14" t="n"/>
      <c r="D88" s="14" t="n"/>
      <c r="E88" s="14" t="n"/>
      <c r="F88" s="14" t="n"/>
      <c r="G88" s="14" t="n"/>
      <c r="H88" s="14" t="n"/>
      <c r="I88" s="14" t="n"/>
      <c r="J88" s="15" t="n"/>
      <c r="K88" s="15" t="n"/>
      <c r="L88" s="14" t="n"/>
      <c r="M88" s="14" t="n"/>
      <c r="N88" s="14" t="n"/>
      <c r="O88" s="14" t="n"/>
      <c r="P88" s="14" t="n"/>
      <c r="Q88" s="13" t="n"/>
      <c r="R88" s="16">
        <f>IF(C88="","",ROUND((C88+SUM(D88:I88))-(C88+SUM(D88:I88))/$F$2*N(J88)+C88/$F$3*$H$3*N(K88)+N(L88),2))</f>
        <v/>
      </c>
      <c r="S88" s="16">
        <f>IF(C88="","",ROUND((C88+SUMPRODUCT(D88:I88,--(D$7:I$7="Yes")))*(1-N(J88)/$F$2),2))</f>
        <v/>
      </c>
      <c r="T88" s="16">
        <f>IF(S88="","",ROUND(S88*8%,2))</f>
        <v/>
      </c>
      <c r="U88" s="16">
        <f>IF(S88="","",ROUND(S88*12%,2))</f>
        <v/>
      </c>
      <c r="V88" s="16">
        <f>IF(S88="","",ROUND(S88*3%,2))</f>
        <v/>
      </c>
      <c r="W88" s="16">
        <f>IF(R88="","",R88-T88-(N(M88)+N(N88)+N(O88)+N(P88)))</f>
        <v/>
      </c>
    </row>
    <row r="89">
      <c r="A89" s="13" t="n"/>
      <c r="B89" s="13" t="n"/>
      <c r="C89" s="14" t="n"/>
      <c r="D89" s="14" t="n"/>
      <c r="E89" s="14" t="n"/>
      <c r="F89" s="14" t="n"/>
      <c r="G89" s="14" t="n"/>
      <c r="H89" s="14" t="n"/>
      <c r="I89" s="14" t="n"/>
      <c r="J89" s="15" t="n"/>
      <c r="K89" s="15" t="n"/>
      <c r="L89" s="14" t="n"/>
      <c r="M89" s="14" t="n"/>
      <c r="N89" s="14" t="n"/>
      <c r="O89" s="14" t="n"/>
      <c r="P89" s="14" t="n"/>
      <c r="Q89" s="13" t="n"/>
      <c r="R89" s="16">
        <f>IF(C89="","",ROUND((C89+SUM(D89:I89))-(C89+SUM(D89:I89))/$F$2*N(J89)+C89/$F$3*$H$3*N(K89)+N(L89),2))</f>
        <v/>
      </c>
      <c r="S89" s="16">
        <f>IF(C89="","",ROUND((C89+SUMPRODUCT(D89:I89,--(D$7:I$7="Yes")))*(1-N(J89)/$F$2),2))</f>
        <v/>
      </c>
      <c r="T89" s="16">
        <f>IF(S89="","",ROUND(S89*8%,2))</f>
        <v/>
      </c>
      <c r="U89" s="16">
        <f>IF(S89="","",ROUND(S89*12%,2))</f>
        <v/>
      </c>
      <c r="V89" s="16">
        <f>IF(S89="","",ROUND(S89*3%,2))</f>
        <v/>
      </c>
      <c r="W89" s="16">
        <f>IF(R89="","",R89-T89-(N(M89)+N(N89)+N(O89)+N(P89)))</f>
        <v/>
      </c>
    </row>
    <row r="90">
      <c r="A90" s="13" t="n"/>
      <c r="B90" s="13" t="n"/>
      <c r="C90" s="14" t="n"/>
      <c r="D90" s="14" t="n"/>
      <c r="E90" s="14" t="n"/>
      <c r="F90" s="14" t="n"/>
      <c r="G90" s="14" t="n"/>
      <c r="H90" s="14" t="n"/>
      <c r="I90" s="14" t="n"/>
      <c r="J90" s="15" t="n"/>
      <c r="K90" s="15" t="n"/>
      <c r="L90" s="14" t="n"/>
      <c r="M90" s="14" t="n"/>
      <c r="N90" s="14" t="n"/>
      <c r="O90" s="14" t="n"/>
      <c r="P90" s="14" t="n"/>
      <c r="Q90" s="13" t="n"/>
      <c r="R90" s="16">
        <f>IF(C90="","",ROUND((C90+SUM(D90:I90))-(C90+SUM(D90:I90))/$F$2*N(J90)+C90/$F$3*$H$3*N(K90)+N(L90),2))</f>
        <v/>
      </c>
      <c r="S90" s="16">
        <f>IF(C90="","",ROUND((C90+SUMPRODUCT(D90:I90,--(D$7:I$7="Yes")))*(1-N(J90)/$F$2),2))</f>
        <v/>
      </c>
      <c r="T90" s="16">
        <f>IF(S90="","",ROUND(S90*8%,2))</f>
        <v/>
      </c>
      <c r="U90" s="16">
        <f>IF(S90="","",ROUND(S90*12%,2))</f>
        <v/>
      </c>
      <c r="V90" s="16">
        <f>IF(S90="","",ROUND(S90*3%,2))</f>
        <v/>
      </c>
      <c r="W90" s="16">
        <f>IF(R90="","",R90-T90-(N(M90)+N(N90)+N(O90)+N(P90)))</f>
        <v/>
      </c>
    </row>
    <row r="91">
      <c r="A91" s="13" t="n"/>
      <c r="B91" s="13" t="n"/>
      <c r="C91" s="14" t="n"/>
      <c r="D91" s="14" t="n"/>
      <c r="E91" s="14" t="n"/>
      <c r="F91" s="14" t="n"/>
      <c r="G91" s="14" t="n"/>
      <c r="H91" s="14" t="n"/>
      <c r="I91" s="14" t="n"/>
      <c r="J91" s="15" t="n"/>
      <c r="K91" s="15" t="n"/>
      <c r="L91" s="14" t="n"/>
      <c r="M91" s="14" t="n"/>
      <c r="N91" s="14" t="n"/>
      <c r="O91" s="14" t="n"/>
      <c r="P91" s="14" t="n"/>
      <c r="Q91" s="13" t="n"/>
      <c r="R91" s="16">
        <f>IF(C91="","",ROUND((C91+SUM(D91:I91))-(C91+SUM(D91:I91))/$F$2*N(J91)+C91/$F$3*$H$3*N(K91)+N(L91),2))</f>
        <v/>
      </c>
      <c r="S91" s="16">
        <f>IF(C91="","",ROUND((C91+SUMPRODUCT(D91:I91,--(D$7:I$7="Yes")))*(1-N(J91)/$F$2),2))</f>
        <v/>
      </c>
      <c r="T91" s="16">
        <f>IF(S91="","",ROUND(S91*8%,2))</f>
        <v/>
      </c>
      <c r="U91" s="16">
        <f>IF(S91="","",ROUND(S91*12%,2))</f>
        <v/>
      </c>
      <c r="V91" s="16">
        <f>IF(S91="","",ROUND(S91*3%,2))</f>
        <v/>
      </c>
      <c r="W91" s="16">
        <f>IF(R91="","",R91-T91-(N(M91)+N(N91)+N(O91)+N(P91)))</f>
        <v/>
      </c>
    </row>
    <row r="92">
      <c r="A92" s="13" t="n"/>
      <c r="B92" s="13" t="n"/>
      <c r="C92" s="14" t="n"/>
      <c r="D92" s="14" t="n"/>
      <c r="E92" s="14" t="n"/>
      <c r="F92" s="14" t="n"/>
      <c r="G92" s="14" t="n"/>
      <c r="H92" s="14" t="n"/>
      <c r="I92" s="14" t="n"/>
      <c r="J92" s="15" t="n"/>
      <c r="K92" s="15" t="n"/>
      <c r="L92" s="14" t="n"/>
      <c r="M92" s="14" t="n"/>
      <c r="N92" s="14" t="n"/>
      <c r="O92" s="14" t="n"/>
      <c r="P92" s="14" t="n"/>
      <c r="Q92" s="13" t="n"/>
      <c r="R92" s="16">
        <f>IF(C92="","",ROUND((C92+SUM(D92:I92))-(C92+SUM(D92:I92))/$F$2*N(J92)+C92/$F$3*$H$3*N(K92)+N(L92),2))</f>
        <v/>
      </c>
      <c r="S92" s="16">
        <f>IF(C92="","",ROUND((C92+SUMPRODUCT(D92:I92,--(D$7:I$7="Yes")))*(1-N(J92)/$F$2),2))</f>
        <v/>
      </c>
      <c r="T92" s="16">
        <f>IF(S92="","",ROUND(S92*8%,2))</f>
        <v/>
      </c>
      <c r="U92" s="16">
        <f>IF(S92="","",ROUND(S92*12%,2))</f>
        <v/>
      </c>
      <c r="V92" s="16">
        <f>IF(S92="","",ROUND(S92*3%,2))</f>
        <v/>
      </c>
      <c r="W92" s="16">
        <f>IF(R92="","",R92-T92-(N(M92)+N(N92)+N(O92)+N(P92)))</f>
        <v/>
      </c>
    </row>
    <row r="93">
      <c r="A93" s="13" t="n"/>
      <c r="B93" s="13" t="n"/>
      <c r="C93" s="14" t="n"/>
      <c r="D93" s="14" t="n"/>
      <c r="E93" s="14" t="n"/>
      <c r="F93" s="14" t="n"/>
      <c r="G93" s="14" t="n"/>
      <c r="H93" s="14" t="n"/>
      <c r="I93" s="14" t="n"/>
      <c r="J93" s="15" t="n"/>
      <c r="K93" s="15" t="n"/>
      <c r="L93" s="14" t="n"/>
      <c r="M93" s="14" t="n"/>
      <c r="N93" s="14" t="n"/>
      <c r="O93" s="14" t="n"/>
      <c r="P93" s="14" t="n"/>
      <c r="Q93" s="13" t="n"/>
      <c r="R93" s="16">
        <f>IF(C93="","",ROUND((C93+SUM(D93:I93))-(C93+SUM(D93:I93))/$F$2*N(J93)+C93/$F$3*$H$3*N(K93)+N(L93),2))</f>
        <v/>
      </c>
      <c r="S93" s="16">
        <f>IF(C93="","",ROUND((C93+SUMPRODUCT(D93:I93,--(D$7:I$7="Yes")))*(1-N(J93)/$F$2),2))</f>
        <v/>
      </c>
      <c r="T93" s="16">
        <f>IF(S93="","",ROUND(S93*8%,2))</f>
        <v/>
      </c>
      <c r="U93" s="16">
        <f>IF(S93="","",ROUND(S93*12%,2))</f>
        <v/>
      </c>
      <c r="V93" s="16">
        <f>IF(S93="","",ROUND(S93*3%,2))</f>
        <v/>
      </c>
      <c r="W93" s="16">
        <f>IF(R93="","",R93-T93-(N(M93)+N(N93)+N(O93)+N(P93)))</f>
        <v/>
      </c>
    </row>
    <row r="94">
      <c r="A94" s="13" t="n"/>
      <c r="B94" s="13" t="n"/>
      <c r="C94" s="14" t="n"/>
      <c r="D94" s="14" t="n"/>
      <c r="E94" s="14" t="n"/>
      <c r="F94" s="14" t="n"/>
      <c r="G94" s="14" t="n"/>
      <c r="H94" s="14" t="n"/>
      <c r="I94" s="14" t="n"/>
      <c r="J94" s="15" t="n"/>
      <c r="K94" s="15" t="n"/>
      <c r="L94" s="14" t="n"/>
      <c r="M94" s="14" t="n"/>
      <c r="N94" s="14" t="n"/>
      <c r="O94" s="14" t="n"/>
      <c r="P94" s="14" t="n"/>
      <c r="Q94" s="13" t="n"/>
      <c r="R94" s="16">
        <f>IF(C94="","",ROUND((C94+SUM(D94:I94))-(C94+SUM(D94:I94))/$F$2*N(J94)+C94/$F$3*$H$3*N(K94)+N(L94),2))</f>
        <v/>
      </c>
      <c r="S94" s="16">
        <f>IF(C94="","",ROUND((C94+SUMPRODUCT(D94:I94,--(D$7:I$7="Yes")))*(1-N(J94)/$F$2),2))</f>
        <v/>
      </c>
      <c r="T94" s="16">
        <f>IF(S94="","",ROUND(S94*8%,2))</f>
        <v/>
      </c>
      <c r="U94" s="16">
        <f>IF(S94="","",ROUND(S94*12%,2))</f>
        <v/>
      </c>
      <c r="V94" s="16">
        <f>IF(S94="","",ROUND(S94*3%,2))</f>
        <v/>
      </c>
      <c r="W94" s="16">
        <f>IF(R94="","",R94-T94-(N(M94)+N(N94)+N(O94)+N(P94)))</f>
        <v/>
      </c>
    </row>
    <row r="95">
      <c r="A95" s="13" t="n"/>
      <c r="B95" s="13" t="n"/>
      <c r="C95" s="14" t="n"/>
      <c r="D95" s="14" t="n"/>
      <c r="E95" s="14" t="n"/>
      <c r="F95" s="14" t="n"/>
      <c r="G95" s="14" t="n"/>
      <c r="H95" s="14" t="n"/>
      <c r="I95" s="14" t="n"/>
      <c r="J95" s="15" t="n"/>
      <c r="K95" s="15" t="n"/>
      <c r="L95" s="14" t="n"/>
      <c r="M95" s="14" t="n"/>
      <c r="N95" s="14" t="n"/>
      <c r="O95" s="14" t="n"/>
      <c r="P95" s="14" t="n"/>
      <c r="Q95" s="13" t="n"/>
      <c r="R95" s="16">
        <f>IF(C95="","",ROUND((C95+SUM(D95:I95))-(C95+SUM(D95:I95))/$F$2*N(J95)+C95/$F$3*$H$3*N(K95)+N(L95),2))</f>
        <v/>
      </c>
      <c r="S95" s="16">
        <f>IF(C95="","",ROUND((C95+SUMPRODUCT(D95:I95,--(D$7:I$7="Yes")))*(1-N(J95)/$F$2),2))</f>
        <v/>
      </c>
      <c r="T95" s="16">
        <f>IF(S95="","",ROUND(S95*8%,2))</f>
        <v/>
      </c>
      <c r="U95" s="16">
        <f>IF(S95="","",ROUND(S95*12%,2))</f>
        <v/>
      </c>
      <c r="V95" s="16">
        <f>IF(S95="","",ROUND(S95*3%,2))</f>
        <v/>
      </c>
      <c r="W95" s="16">
        <f>IF(R95="","",R95-T95-(N(M95)+N(N95)+N(O95)+N(P95)))</f>
        <v/>
      </c>
    </row>
    <row r="96">
      <c r="A96" s="13" t="n"/>
      <c r="B96" s="13" t="n"/>
      <c r="C96" s="14" t="n"/>
      <c r="D96" s="14" t="n"/>
      <c r="E96" s="14" t="n"/>
      <c r="F96" s="14" t="n"/>
      <c r="G96" s="14" t="n"/>
      <c r="H96" s="14" t="n"/>
      <c r="I96" s="14" t="n"/>
      <c r="J96" s="15" t="n"/>
      <c r="K96" s="15" t="n"/>
      <c r="L96" s="14" t="n"/>
      <c r="M96" s="14" t="n"/>
      <c r="N96" s="14" t="n"/>
      <c r="O96" s="14" t="n"/>
      <c r="P96" s="14" t="n"/>
      <c r="Q96" s="13" t="n"/>
      <c r="R96" s="16">
        <f>IF(C96="","",ROUND((C96+SUM(D96:I96))-(C96+SUM(D96:I96))/$F$2*N(J96)+C96/$F$3*$H$3*N(K96)+N(L96),2))</f>
        <v/>
      </c>
      <c r="S96" s="16">
        <f>IF(C96="","",ROUND((C96+SUMPRODUCT(D96:I96,--(D$7:I$7="Yes")))*(1-N(J96)/$F$2),2))</f>
        <v/>
      </c>
      <c r="T96" s="16">
        <f>IF(S96="","",ROUND(S96*8%,2))</f>
        <v/>
      </c>
      <c r="U96" s="16">
        <f>IF(S96="","",ROUND(S96*12%,2))</f>
        <v/>
      </c>
      <c r="V96" s="16">
        <f>IF(S96="","",ROUND(S96*3%,2))</f>
        <v/>
      </c>
      <c r="W96" s="16">
        <f>IF(R96="","",R96-T96-(N(M96)+N(N96)+N(O96)+N(P96)))</f>
        <v/>
      </c>
    </row>
    <row r="97">
      <c r="A97" s="13" t="n"/>
      <c r="B97" s="13" t="n"/>
      <c r="C97" s="14" t="n"/>
      <c r="D97" s="14" t="n"/>
      <c r="E97" s="14" t="n"/>
      <c r="F97" s="14" t="n"/>
      <c r="G97" s="14" t="n"/>
      <c r="H97" s="14" t="n"/>
      <c r="I97" s="14" t="n"/>
      <c r="J97" s="15" t="n"/>
      <c r="K97" s="15" t="n"/>
      <c r="L97" s="14" t="n"/>
      <c r="M97" s="14" t="n"/>
      <c r="N97" s="14" t="n"/>
      <c r="O97" s="14" t="n"/>
      <c r="P97" s="14" t="n"/>
      <c r="Q97" s="13" t="n"/>
      <c r="R97" s="16">
        <f>IF(C97="","",ROUND((C97+SUM(D97:I97))-(C97+SUM(D97:I97))/$F$2*N(J97)+C97/$F$3*$H$3*N(K97)+N(L97),2))</f>
        <v/>
      </c>
      <c r="S97" s="16">
        <f>IF(C97="","",ROUND((C97+SUMPRODUCT(D97:I97,--(D$7:I$7="Yes")))*(1-N(J97)/$F$2),2))</f>
        <v/>
      </c>
      <c r="T97" s="16">
        <f>IF(S97="","",ROUND(S97*8%,2))</f>
        <v/>
      </c>
      <c r="U97" s="16">
        <f>IF(S97="","",ROUND(S97*12%,2))</f>
        <v/>
      </c>
      <c r="V97" s="16">
        <f>IF(S97="","",ROUND(S97*3%,2))</f>
        <v/>
      </c>
      <c r="W97" s="16">
        <f>IF(R97="","",R97-T97-(N(M97)+N(N97)+N(O97)+N(P97)))</f>
        <v/>
      </c>
    </row>
    <row r="98">
      <c r="A98" s="13" t="n"/>
      <c r="B98" s="13" t="n"/>
      <c r="C98" s="14" t="n"/>
      <c r="D98" s="14" t="n"/>
      <c r="E98" s="14" t="n"/>
      <c r="F98" s="14" t="n"/>
      <c r="G98" s="14" t="n"/>
      <c r="H98" s="14" t="n"/>
      <c r="I98" s="14" t="n"/>
      <c r="J98" s="15" t="n"/>
      <c r="K98" s="15" t="n"/>
      <c r="L98" s="14" t="n"/>
      <c r="M98" s="14" t="n"/>
      <c r="N98" s="14" t="n"/>
      <c r="O98" s="14" t="n"/>
      <c r="P98" s="14" t="n"/>
      <c r="Q98" s="13" t="n"/>
      <c r="R98" s="16">
        <f>IF(C98="","",ROUND((C98+SUM(D98:I98))-(C98+SUM(D98:I98))/$F$2*N(J98)+C98/$F$3*$H$3*N(K98)+N(L98),2))</f>
        <v/>
      </c>
      <c r="S98" s="16">
        <f>IF(C98="","",ROUND((C98+SUMPRODUCT(D98:I98,--(D$7:I$7="Yes")))*(1-N(J98)/$F$2),2))</f>
        <v/>
      </c>
      <c r="T98" s="16">
        <f>IF(S98="","",ROUND(S98*8%,2))</f>
        <v/>
      </c>
      <c r="U98" s="16">
        <f>IF(S98="","",ROUND(S98*12%,2))</f>
        <v/>
      </c>
      <c r="V98" s="16">
        <f>IF(S98="","",ROUND(S98*3%,2))</f>
        <v/>
      </c>
      <c r="W98" s="16">
        <f>IF(R98="","",R98-T98-(N(M98)+N(N98)+N(O98)+N(P98)))</f>
        <v/>
      </c>
    </row>
    <row r="99">
      <c r="A99" s="13" t="n"/>
      <c r="B99" s="13" t="n"/>
      <c r="C99" s="14" t="n"/>
      <c r="D99" s="14" t="n"/>
      <c r="E99" s="14" t="n"/>
      <c r="F99" s="14" t="n"/>
      <c r="G99" s="14" t="n"/>
      <c r="H99" s="14" t="n"/>
      <c r="I99" s="14" t="n"/>
      <c r="J99" s="15" t="n"/>
      <c r="K99" s="15" t="n"/>
      <c r="L99" s="14" t="n"/>
      <c r="M99" s="14" t="n"/>
      <c r="N99" s="14" t="n"/>
      <c r="O99" s="14" t="n"/>
      <c r="P99" s="14" t="n"/>
      <c r="Q99" s="13" t="n"/>
      <c r="R99" s="16">
        <f>IF(C99="","",ROUND((C99+SUM(D99:I99))-(C99+SUM(D99:I99))/$F$2*N(J99)+C99/$F$3*$H$3*N(K99)+N(L99),2))</f>
        <v/>
      </c>
      <c r="S99" s="16">
        <f>IF(C99="","",ROUND((C99+SUMPRODUCT(D99:I99,--(D$7:I$7="Yes")))*(1-N(J99)/$F$2),2))</f>
        <v/>
      </c>
      <c r="T99" s="16">
        <f>IF(S99="","",ROUND(S99*8%,2))</f>
        <v/>
      </c>
      <c r="U99" s="16">
        <f>IF(S99="","",ROUND(S99*12%,2))</f>
        <v/>
      </c>
      <c r="V99" s="16">
        <f>IF(S99="","",ROUND(S99*3%,2))</f>
        <v/>
      </c>
      <c r="W99" s="16">
        <f>IF(R99="","",R99-T99-(N(M99)+N(N99)+N(O99)+N(P99)))</f>
        <v/>
      </c>
    </row>
    <row r="100">
      <c r="A100" s="13" t="n"/>
      <c r="B100" s="13" t="n"/>
      <c r="C100" s="14" t="n"/>
      <c r="D100" s="14" t="n"/>
      <c r="E100" s="14" t="n"/>
      <c r="F100" s="14" t="n"/>
      <c r="G100" s="14" t="n"/>
      <c r="H100" s="14" t="n"/>
      <c r="I100" s="14" t="n"/>
      <c r="J100" s="15" t="n"/>
      <c r="K100" s="15" t="n"/>
      <c r="L100" s="14" t="n"/>
      <c r="M100" s="14" t="n"/>
      <c r="N100" s="14" t="n"/>
      <c r="O100" s="14" t="n"/>
      <c r="P100" s="14" t="n"/>
      <c r="Q100" s="13" t="n"/>
      <c r="R100" s="16">
        <f>IF(C100="","",ROUND((C100+SUM(D100:I100))-(C100+SUM(D100:I100))/$F$2*N(J100)+C100/$F$3*$H$3*N(K100)+N(L100),2))</f>
        <v/>
      </c>
      <c r="S100" s="16">
        <f>IF(C100="","",ROUND((C100+SUMPRODUCT(D100:I100,--(D$7:I$7="Yes")))*(1-N(J100)/$F$2),2))</f>
        <v/>
      </c>
      <c r="T100" s="16">
        <f>IF(S100="","",ROUND(S100*8%,2))</f>
        <v/>
      </c>
      <c r="U100" s="16">
        <f>IF(S100="","",ROUND(S100*12%,2))</f>
        <v/>
      </c>
      <c r="V100" s="16">
        <f>IF(S100="","",ROUND(S100*3%,2))</f>
        <v/>
      </c>
      <c r="W100" s="16">
        <f>IF(R100="","",R100-T100-(N(M100)+N(N100)+N(O100)+N(P100)))</f>
        <v/>
      </c>
    </row>
    <row r="101">
      <c r="A101" s="13" t="n"/>
      <c r="B101" s="13" t="n"/>
      <c r="C101" s="14" t="n"/>
      <c r="D101" s="14" t="n"/>
      <c r="E101" s="14" t="n"/>
      <c r="F101" s="14" t="n"/>
      <c r="G101" s="14" t="n"/>
      <c r="H101" s="14" t="n"/>
      <c r="I101" s="14" t="n"/>
      <c r="J101" s="15" t="n"/>
      <c r="K101" s="15" t="n"/>
      <c r="L101" s="14" t="n"/>
      <c r="M101" s="14" t="n"/>
      <c r="N101" s="14" t="n"/>
      <c r="O101" s="14" t="n"/>
      <c r="P101" s="14" t="n"/>
      <c r="Q101" s="13" t="n"/>
      <c r="R101" s="16">
        <f>IF(C101="","",ROUND((C101+SUM(D101:I101))-(C101+SUM(D101:I101))/$F$2*N(J101)+C101/$F$3*$H$3*N(K101)+N(L101),2))</f>
        <v/>
      </c>
      <c r="S101" s="16">
        <f>IF(C101="","",ROUND((C101+SUMPRODUCT(D101:I101,--(D$7:I$7="Yes")))*(1-N(J101)/$F$2),2))</f>
        <v/>
      </c>
      <c r="T101" s="16">
        <f>IF(S101="","",ROUND(S101*8%,2))</f>
        <v/>
      </c>
      <c r="U101" s="16">
        <f>IF(S101="","",ROUND(S101*12%,2))</f>
        <v/>
      </c>
      <c r="V101" s="16">
        <f>IF(S101="","",ROUND(S101*3%,2))</f>
        <v/>
      </c>
      <c r="W101" s="16">
        <f>IF(R101="","",R101-T101-(N(M101)+N(N101)+N(O101)+N(P101)))</f>
        <v/>
      </c>
    </row>
    <row r="102">
      <c r="A102" s="13" t="n"/>
      <c r="B102" s="13" t="n"/>
      <c r="C102" s="14" t="n"/>
      <c r="D102" s="14" t="n"/>
      <c r="E102" s="14" t="n"/>
      <c r="F102" s="14" t="n"/>
      <c r="G102" s="14" t="n"/>
      <c r="H102" s="14" t="n"/>
      <c r="I102" s="14" t="n"/>
      <c r="J102" s="15" t="n"/>
      <c r="K102" s="15" t="n"/>
      <c r="L102" s="14" t="n"/>
      <c r="M102" s="14" t="n"/>
      <c r="N102" s="14" t="n"/>
      <c r="O102" s="14" t="n"/>
      <c r="P102" s="14" t="n"/>
      <c r="Q102" s="13" t="n"/>
      <c r="R102" s="16">
        <f>IF(C102="","",ROUND((C102+SUM(D102:I102))-(C102+SUM(D102:I102))/$F$2*N(J102)+C102/$F$3*$H$3*N(K102)+N(L102),2))</f>
        <v/>
      </c>
      <c r="S102" s="16">
        <f>IF(C102="","",ROUND((C102+SUMPRODUCT(D102:I102,--(D$7:I$7="Yes")))*(1-N(J102)/$F$2),2))</f>
        <v/>
      </c>
      <c r="T102" s="16">
        <f>IF(S102="","",ROUND(S102*8%,2))</f>
        <v/>
      </c>
      <c r="U102" s="16">
        <f>IF(S102="","",ROUND(S102*12%,2))</f>
        <v/>
      </c>
      <c r="V102" s="16">
        <f>IF(S102="","",ROUND(S102*3%,2))</f>
        <v/>
      </c>
      <c r="W102" s="16">
        <f>IF(R102="","",R102-T102-(N(M102)+N(N102)+N(O102)+N(P102)))</f>
        <v/>
      </c>
    </row>
    <row r="103">
      <c r="A103" s="13" t="n"/>
      <c r="B103" s="13" t="n"/>
      <c r="C103" s="14" t="n"/>
      <c r="D103" s="14" t="n"/>
      <c r="E103" s="14" t="n"/>
      <c r="F103" s="14" t="n"/>
      <c r="G103" s="14" t="n"/>
      <c r="H103" s="14" t="n"/>
      <c r="I103" s="14" t="n"/>
      <c r="J103" s="15" t="n"/>
      <c r="K103" s="15" t="n"/>
      <c r="L103" s="14" t="n"/>
      <c r="M103" s="14" t="n"/>
      <c r="N103" s="14" t="n"/>
      <c r="O103" s="14" t="n"/>
      <c r="P103" s="14" t="n"/>
      <c r="Q103" s="13" t="n"/>
      <c r="R103" s="16">
        <f>IF(C103="","",ROUND((C103+SUM(D103:I103))-(C103+SUM(D103:I103))/$F$2*N(J103)+C103/$F$3*$H$3*N(K103)+N(L103),2))</f>
        <v/>
      </c>
      <c r="S103" s="16">
        <f>IF(C103="","",ROUND((C103+SUMPRODUCT(D103:I103,--(D$7:I$7="Yes")))*(1-N(J103)/$F$2),2))</f>
        <v/>
      </c>
      <c r="T103" s="16">
        <f>IF(S103="","",ROUND(S103*8%,2))</f>
        <v/>
      </c>
      <c r="U103" s="16">
        <f>IF(S103="","",ROUND(S103*12%,2))</f>
        <v/>
      </c>
      <c r="V103" s="16">
        <f>IF(S103="","",ROUND(S103*3%,2))</f>
        <v/>
      </c>
      <c r="W103" s="16">
        <f>IF(R103="","",R103-T103-(N(M103)+N(N103)+N(O103)+N(P103)))</f>
        <v/>
      </c>
    </row>
    <row r="104">
      <c r="A104" s="13" t="n"/>
      <c r="B104" s="13" t="n"/>
      <c r="C104" s="14" t="n"/>
      <c r="D104" s="14" t="n"/>
      <c r="E104" s="14" t="n"/>
      <c r="F104" s="14" t="n"/>
      <c r="G104" s="14" t="n"/>
      <c r="H104" s="14" t="n"/>
      <c r="I104" s="14" t="n"/>
      <c r="J104" s="15" t="n"/>
      <c r="K104" s="15" t="n"/>
      <c r="L104" s="14" t="n"/>
      <c r="M104" s="14" t="n"/>
      <c r="N104" s="14" t="n"/>
      <c r="O104" s="14" t="n"/>
      <c r="P104" s="14" t="n"/>
      <c r="Q104" s="13" t="n"/>
      <c r="R104" s="16">
        <f>IF(C104="","",ROUND((C104+SUM(D104:I104))-(C104+SUM(D104:I104))/$F$2*N(J104)+C104/$F$3*$H$3*N(K104)+N(L104),2))</f>
        <v/>
      </c>
      <c r="S104" s="16">
        <f>IF(C104="","",ROUND((C104+SUMPRODUCT(D104:I104,--(D$7:I$7="Yes")))*(1-N(J104)/$F$2),2))</f>
        <v/>
      </c>
      <c r="T104" s="16">
        <f>IF(S104="","",ROUND(S104*8%,2))</f>
        <v/>
      </c>
      <c r="U104" s="16">
        <f>IF(S104="","",ROUND(S104*12%,2))</f>
        <v/>
      </c>
      <c r="V104" s="16">
        <f>IF(S104="","",ROUND(S104*3%,2))</f>
        <v/>
      </c>
      <c r="W104" s="16">
        <f>IF(R104="","",R104-T104-(N(M104)+N(N104)+N(O104)+N(P104)))</f>
        <v/>
      </c>
    </row>
    <row r="105">
      <c r="A105" s="13" t="n"/>
      <c r="B105" s="13" t="n"/>
      <c r="C105" s="14" t="n"/>
      <c r="D105" s="14" t="n"/>
      <c r="E105" s="14" t="n"/>
      <c r="F105" s="14" t="n"/>
      <c r="G105" s="14" t="n"/>
      <c r="H105" s="14" t="n"/>
      <c r="I105" s="14" t="n"/>
      <c r="J105" s="15" t="n"/>
      <c r="K105" s="15" t="n"/>
      <c r="L105" s="14" t="n"/>
      <c r="M105" s="14" t="n"/>
      <c r="N105" s="14" t="n"/>
      <c r="O105" s="14" t="n"/>
      <c r="P105" s="14" t="n"/>
      <c r="Q105" s="13" t="n"/>
      <c r="R105" s="16">
        <f>IF(C105="","",ROUND((C105+SUM(D105:I105))-(C105+SUM(D105:I105))/$F$2*N(J105)+C105/$F$3*$H$3*N(K105)+N(L105),2))</f>
        <v/>
      </c>
      <c r="S105" s="16">
        <f>IF(C105="","",ROUND((C105+SUMPRODUCT(D105:I105,--(D$7:I$7="Yes")))*(1-N(J105)/$F$2),2))</f>
        <v/>
      </c>
      <c r="T105" s="16">
        <f>IF(S105="","",ROUND(S105*8%,2))</f>
        <v/>
      </c>
      <c r="U105" s="16">
        <f>IF(S105="","",ROUND(S105*12%,2))</f>
        <v/>
      </c>
      <c r="V105" s="16">
        <f>IF(S105="","",ROUND(S105*3%,2))</f>
        <v/>
      </c>
      <c r="W105" s="16">
        <f>IF(R105="","",R105-T105-(N(M105)+N(N105)+N(O105)+N(P105)))</f>
        <v/>
      </c>
    </row>
    <row r="106">
      <c r="A106" s="13" t="n"/>
      <c r="B106" s="13" t="n"/>
      <c r="C106" s="14" t="n"/>
      <c r="D106" s="14" t="n"/>
      <c r="E106" s="14" t="n"/>
      <c r="F106" s="14" t="n"/>
      <c r="G106" s="14" t="n"/>
      <c r="H106" s="14" t="n"/>
      <c r="I106" s="14" t="n"/>
      <c r="J106" s="15" t="n"/>
      <c r="K106" s="15" t="n"/>
      <c r="L106" s="14" t="n"/>
      <c r="M106" s="14" t="n"/>
      <c r="N106" s="14" t="n"/>
      <c r="O106" s="14" t="n"/>
      <c r="P106" s="14" t="n"/>
      <c r="Q106" s="13" t="n"/>
      <c r="R106" s="16">
        <f>IF(C106="","",ROUND((C106+SUM(D106:I106))-(C106+SUM(D106:I106))/$F$2*N(J106)+C106/$F$3*$H$3*N(K106)+N(L106),2))</f>
        <v/>
      </c>
      <c r="S106" s="16">
        <f>IF(C106="","",ROUND((C106+SUMPRODUCT(D106:I106,--(D$7:I$7="Yes")))*(1-N(J106)/$F$2),2))</f>
        <v/>
      </c>
      <c r="T106" s="16">
        <f>IF(S106="","",ROUND(S106*8%,2))</f>
        <v/>
      </c>
      <c r="U106" s="16">
        <f>IF(S106="","",ROUND(S106*12%,2))</f>
        <v/>
      </c>
      <c r="V106" s="16">
        <f>IF(S106="","",ROUND(S106*3%,2))</f>
        <v/>
      </c>
      <c r="W106" s="16">
        <f>IF(R106="","",R106-T106-(N(M106)+N(N106)+N(O106)+N(P106)))</f>
        <v/>
      </c>
    </row>
    <row r="107">
      <c r="A107" s="13" t="n"/>
      <c r="B107" s="13" t="n"/>
      <c r="C107" s="14" t="n"/>
      <c r="D107" s="14" t="n"/>
      <c r="E107" s="14" t="n"/>
      <c r="F107" s="14" t="n"/>
      <c r="G107" s="14" t="n"/>
      <c r="H107" s="14" t="n"/>
      <c r="I107" s="14" t="n"/>
      <c r="J107" s="15" t="n"/>
      <c r="K107" s="15" t="n"/>
      <c r="L107" s="14" t="n"/>
      <c r="M107" s="14" t="n"/>
      <c r="N107" s="14" t="n"/>
      <c r="O107" s="14" t="n"/>
      <c r="P107" s="14" t="n"/>
      <c r="Q107" s="13" t="n"/>
      <c r="R107" s="16">
        <f>IF(C107="","",ROUND((C107+SUM(D107:I107))-(C107+SUM(D107:I107))/$F$2*N(J107)+C107/$F$3*$H$3*N(K107)+N(L107),2))</f>
        <v/>
      </c>
      <c r="S107" s="16">
        <f>IF(C107="","",ROUND((C107+SUMPRODUCT(D107:I107,--(D$7:I$7="Yes")))*(1-N(J107)/$F$2),2))</f>
        <v/>
      </c>
      <c r="T107" s="16">
        <f>IF(S107="","",ROUND(S107*8%,2))</f>
        <v/>
      </c>
      <c r="U107" s="16">
        <f>IF(S107="","",ROUND(S107*12%,2))</f>
        <v/>
      </c>
      <c r="V107" s="16">
        <f>IF(S107="","",ROUND(S107*3%,2))</f>
        <v/>
      </c>
      <c r="W107" s="16">
        <f>IF(R107="","",R107-T107-(N(M107)+N(N107)+N(O107)+N(P107)))</f>
        <v/>
      </c>
    </row>
    <row r="108">
      <c r="A108" s="13" t="n"/>
      <c r="B108" s="13" t="n"/>
      <c r="C108" s="14" t="n"/>
      <c r="D108" s="14" t="n"/>
      <c r="E108" s="14" t="n"/>
      <c r="F108" s="14" t="n"/>
      <c r="G108" s="14" t="n"/>
      <c r="H108" s="14" t="n"/>
      <c r="I108" s="14" t="n"/>
      <c r="J108" s="15" t="n"/>
      <c r="K108" s="15" t="n"/>
      <c r="L108" s="14" t="n"/>
      <c r="M108" s="14" t="n"/>
      <c r="N108" s="14" t="n"/>
      <c r="O108" s="14" t="n"/>
      <c r="P108" s="14" t="n"/>
      <c r="Q108" s="13" t="n"/>
      <c r="R108" s="16">
        <f>IF(C108="","",ROUND((C108+SUM(D108:I108))-(C108+SUM(D108:I108))/$F$2*N(J108)+C108/$F$3*$H$3*N(K108)+N(L108),2))</f>
        <v/>
      </c>
      <c r="S108" s="16">
        <f>IF(C108="","",ROUND((C108+SUMPRODUCT(D108:I108,--(D$7:I$7="Yes")))*(1-N(J108)/$F$2),2))</f>
        <v/>
      </c>
      <c r="T108" s="16">
        <f>IF(S108="","",ROUND(S108*8%,2))</f>
        <v/>
      </c>
      <c r="U108" s="16">
        <f>IF(S108="","",ROUND(S108*12%,2))</f>
        <v/>
      </c>
      <c r="V108" s="16">
        <f>IF(S108="","",ROUND(S108*3%,2))</f>
        <v/>
      </c>
      <c r="W108" s="16">
        <f>IF(R108="","",R108-T108-(N(M108)+N(N108)+N(O108)+N(P108)))</f>
        <v/>
      </c>
    </row>
  </sheetData>
  <mergeCells count="5">
    <mergeCell ref="J6:L6"/>
    <mergeCell ref="R6:W6"/>
    <mergeCell ref="M6:Q6"/>
    <mergeCell ref="C6:I6"/>
    <mergeCell ref="A6:B6"/>
  </mergeCells>
  <dataValidations count="1">
    <dataValidation sqref="D7 E7 F7 G7 H7 I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How to fill the Jay's HR salary upload</t>
        </is>
      </c>
    </row>
    <row r="2">
      <c r="A2" s="18" t="inlineStr"/>
    </row>
    <row r="3">
      <c r="A3" s="18" t="inlineStr">
        <is>
          <t>This file is for salaries only. Employee details (NIC, bank, EPF no. etc.) stay in the employee records.</t>
        </is>
      </c>
    </row>
    <row r="4">
      <c r="A4" s="18" t="inlineStr">
        <is>
          <t>1. One row per employee. Emp No must match an employee already in the portal; the name is just for reference.</t>
        </is>
      </c>
    </row>
    <row r="5">
      <c r="A5" s="18" t="inlineStr">
        <is>
          <t>2. Basic salary and the allowance columns are the employee's normal monthly pay. Downloading the template from the portal gives you this month's figures already filled in.</t>
        </is>
      </c>
    </row>
    <row r="6">
      <c r="A6" s="18" t="inlineStr">
        <is>
          <t>3. EPF/ETF: the yellow cell above each allowance says whether it counts for EPF and ETF.</t>
        </is>
      </c>
    </row>
    <row r="7">
      <c r="A7" s="18" t="inlineStr">
        <is>
          <t xml:space="preserve">     Yes – cost of living, special living, food allowance, commission, piece rate, holiday pay.</t>
        </is>
      </c>
    </row>
    <row r="8">
      <c r="A8" s="18" t="inlineStr">
        <is>
          <t xml:space="preserve">     No  – travelling reimbursement, performance/incentive allowance and other allowances not counted for EPF. Bonus and overtime never count.</t>
        </is>
      </c>
    </row>
    <row r="9">
      <c r="A9" s="18" t="inlineStr">
        <is>
          <t xml:space="preserve">     Rename or re-flag columns as needed. Check with your EPF advisor if unsure which allowances count.</t>
        </is>
      </c>
    </row>
    <row r="10">
      <c r="A10" s="18" t="inlineStr">
        <is>
          <t>4. This month: no-pay days, OT hours and any bonus. Deductions: advances, welfare, loans, others.</t>
        </is>
      </c>
    </row>
    <row r="11">
      <c r="A11" s="18" t="inlineStr">
        <is>
          <t>5. Leave cells empty for zero. Don't change the header row. Company code and month are optional – if filled, they must match the month you upload into.</t>
        </is>
      </c>
    </row>
    <row r="12">
      <c r="A12" s="18" t="inlineStr">
        <is>
          <t>6. Grey columns are a quick check only (APIT is not included) – the system recalculates everything.</t>
        </is>
      </c>
    </row>
    <row r="13">
      <c r="A13" s="18" t="inlineStr">
        <is>
          <t>7. Save as .xlsx and upload it on the payroll month page: Upload Excel.</t>
        </is>
      </c>
    </row>
    <row r="14">
      <c r="A14" s="18" t="inlineStr"/>
    </row>
    <row r="15">
      <c r="A15" s="18" t="inlineStr">
        <is>
          <t>Employees not in the file are left as they are. To stop paying someone, mark them as left in the portal.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2026-10-21T06:06:23Z</dcterms:created>
  <dcterms:modified xmlns:dcterms="http://purl.org/dc/terms/" xmlns:xsi="http://www.w3.org/2001/XMLSchema-instance" xsi:type="dcterms:W3CDTF">2026-10-21T06:06:24Z</dcterms:modified>
</cp:coreProperties>
</file>